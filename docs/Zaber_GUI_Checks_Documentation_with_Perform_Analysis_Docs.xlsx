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User Story Tracker" sheetId="2" state="visible" r:id="rId2"/>
    <sheet name="Testing Information" sheetId="3" state="visible" r:id="rId3"/>
    <sheet name="Full Checklist" sheetId="4" state="visible" r:id="rId4"/>
    <sheet name="Basic Settings" sheetId="5" state="visible" r:id="rId5"/>
    <sheet name="Test Configuration" sheetId="6" state="visible" r:id="rId6"/>
    <sheet name="Folder &amp; Existing Tests" sheetId="7" state="visible" r:id="rId7"/>
    <sheet name="EM Test" sheetId="8" state="visible" r:id="rId8"/>
    <sheet name="Shear Test" sheetId="9" state="visible" r:id="rId9"/>
    <sheet name="Manual Test" sheetId="10" state="visible" r:id="rId10"/>
    <sheet name="Cyclical Test" sheetId="11" state="visible" r:id="rId11"/>
    <sheet name="Analysis" sheetId="12" state="visible" r:id="rId12"/>
    <sheet name="Detection &amp; Reports" sheetId="13" state="visible" r:id="rId13"/>
    <sheet name="Revision Log" sheetId="14" state="visible" r:id="rId14"/>
    <sheet name="User Story Progress" sheetId="15" state="visible" r:id="rId15"/>
    <sheet name="Perform Analysis Docs" sheetId="16" state="visible" r:id="rId16"/>
  </sheets>
  <definedNames>
    <definedName name="_xlnm._FilterDatabase" localSheetId="1" hidden="1">'User Story Tracker'!$A$14:$K$88</definedName>
    <definedName name="_xlnm._FilterDatabase" localSheetId="3" hidden="1">'Full Checklist'!$A$1:$J$84</definedName>
    <definedName name="_xlnm._FilterDatabase" localSheetId="4" hidden="1">'Basic Settings'!$A$1:$J$13</definedName>
    <definedName name="_xlnm._FilterDatabase" localSheetId="5" hidden="1">'Test Configuration'!$A$1:$J$10</definedName>
    <definedName name="_xlnm._FilterDatabase" localSheetId="6" hidden="1">'Folder &amp; Existing Tests'!$A$1:$J$11</definedName>
    <definedName name="_xlnm._FilterDatabase" localSheetId="7" hidden="1">'EM Test'!$A$1:$J$10</definedName>
    <definedName name="_xlnm._FilterDatabase" localSheetId="8" hidden="1">'Shear Test'!$A$1:$J$10</definedName>
    <definedName name="_xlnm._FilterDatabase" localSheetId="9" hidden="1">'Manual Test'!$A$1:$J$12</definedName>
    <definedName name="_xlnm._FilterDatabase" localSheetId="10" hidden="1">'Cyclical Test'!$A$1:$J$11</definedName>
    <definedName name="_xlnm._FilterDatabase" localSheetId="11" hidden="1">'Analysis'!$A$1:$J$8</definedName>
    <definedName name="_xlnm._FilterDatabase" localSheetId="12" hidden="1">'Detection &amp; Reports'!$A$1:$J$7</definedName>
    <definedName name="_xlnm._FilterDatabase" localSheetId="13" hidden="1">'Revision Log'!$A$1:$G$3</definedName>
    <definedName name="_xlnm._FilterDatabase" localSheetId="14" hidden="1">'User Story Progress'!$A$1:$F$11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172033"/>
      <sz val="20"/>
    </font>
    <font>
      <color rgb="00697790"/>
      <sz val="11"/>
    </font>
    <font>
      <b val="1"/>
      <color rgb="00FFFFFF"/>
    </font>
    <font>
      <b val="1"/>
      <color rgb="00172033"/>
      <sz val="14"/>
    </font>
    <font>
      <color rgb="00697790"/>
    </font>
    <font>
      <b val="1"/>
      <color rgb="00172033"/>
    </font>
    <font>
      <b val="1"/>
      <color rgb="00172033"/>
      <sz val="22"/>
    </font>
    <font>
      <color rgb="00697790"/>
      <sz val="12"/>
    </font>
    <font>
      <color rgb="006b7890"/>
      <sz val="12"/>
    </font>
    <font>
      <b val="1"/>
      <color rgb="00ffffff"/>
    </font>
    <font>
      <color rgb="00172033"/>
    </font>
    <font>
      <b val="1"/>
      <color rgb="00172033"/>
      <sz val="15"/>
    </font>
    <font>
      <b val="1"/>
      <color rgb="001F2937"/>
      <sz val="18"/>
    </font>
    <font>
      <color rgb="00667085"/>
      <sz val="11"/>
    </font>
    <font>
      <b val="1"/>
      <color rgb="001F2937"/>
    </font>
    <font>
      <b val="1"/>
      <color rgb="00FFFFFF"/>
      <sz val="13"/>
    </font>
  </fonts>
  <fills count="12">
    <fill>
      <patternFill/>
    </fill>
    <fill>
      <patternFill patternType="gray125"/>
    </fill>
    <fill>
      <patternFill patternType="solid">
        <fgColor rgb="00172033"/>
      </patternFill>
    </fill>
    <fill>
      <patternFill patternType="solid">
        <fgColor rgb="00EAF1FF"/>
      </patternFill>
    </fill>
    <fill>
      <patternFill patternType="solid">
        <fgColor rgb="00FFFFFF"/>
      </patternFill>
    </fill>
    <fill>
      <patternFill patternType="solid">
        <fgColor rgb="00F6F8FB"/>
      </patternFill>
    </fill>
    <fill>
      <patternFill patternType="solid">
        <fgColor rgb="00ffffff"/>
      </patternFill>
    </fill>
    <fill>
      <patternFill patternType="solid">
        <fgColor rgb="00f4f7fb"/>
      </patternFill>
    </fill>
    <fill>
      <patternFill patternType="solid">
        <fgColor rgb="00eaf2ff"/>
      </patternFill>
    </fill>
    <fill>
      <patternFill patternType="solid">
        <fgColor rgb="001F2937"/>
      </patternFill>
    </fill>
    <fill>
      <patternFill patternType="solid">
        <fgColor rgb="00EAF2FF"/>
      </patternFill>
    </fill>
    <fill>
      <patternFill patternType="solid">
        <fgColor rgb="003F73E6"/>
      </patternFill>
    </fill>
  </fills>
  <borders count="9">
    <border>
      <left/>
      <right/>
      <top/>
      <bottom/>
      <diagonal/>
    </border>
    <border>
      <left style="thin">
        <color rgb="00D7DEE9"/>
      </left>
      <right style="thin">
        <color rgb="00D7DEE9"/>
      </right>
      <top style="thin">
        <color rgb="00D7DEE9"/>
      </top>
      <bottom style="thin">
        <color rgb="00D7DEE9"/>
      </bottom>
    </border>
    <border>
      <left style="thin">
        <color rgb="00D7DEE9"/>
      </left>
      <right style="thin">
        <color rgb="00D7DEE9"/>
      </right>
      <top style="medium">
        <color rgb="00B8C4D6"/>
      </top>
      <bottom style="medium">
        <color rgb="00B8C4D6"/>
      </bottom>
    </border>
    <border>
      <left style="thin">
        <color rgb="00d9e1ec"/>
      </left>
      <right style="thin">
        <color rgb="00d9e1ec"/>
      </right>
      <top style="thin">
        <color rgb="00d9e1ec"/>
      </top>
      <bottom style="thin">
        <color rgb="00d9e1ec"/>
      </bottom>
    </border>
    <border>
      <left style="thin">
        <color rgb="00D9E2EF"/>
      </left>
      <right style="thin">
        <color rgb="00D9E2EF"/>
      </right>
      <top style="thin">
        <color rgb="00D9E2EF"/>
      </top>
      <bottom style="thin">
        <color rgb="00D9E2EF"/>
      </bottom>
    </border>
    <border>
      <left/>
      <right/>
      <top style="thin">
        <color rgb="00D9E2EF"/>
      </top>
      <bottom/>
      <diagonal/>
    </border>
    <border>
      <left/>
      <right style="thin">
        <color rgb="00D9E2EF"/>
      </right>
      <top style="thin">
        <color rgb="00D9E2EF"/>
      </top>
      <bottom/>
      <diagonal/>
    </border>
    <border>
      <left/>
      <right/>
      <top style="thin">
        <color rgb="00D9E2EF"/>
      </top>
      <bottom style="thin">
        <color rgb="00D9E2EF"/>
      </bottom>
      <diagonal/>
    </border>
    <border>
      <left/>
      <right style="thin">
        <color rgb="00D9E2EF"/>
      </right>
      <top style="thin">
        <color rgb="00D9E2EF"/>
      </top>
      <bottom style="thin">
        <color rgb="00D9E2EF"/>
      </bottom>
      <diagonal/>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0" fillId="3" borderId="1" applyAlignment="1" pivotButton="0" quotePrefix="0" xfId="0">
      <alignment vertical="center"/>
    </xf>
    <xf numFmtId="0" fontId="0" fillId="4" borderId="1" applyAlignment="1" pivotButton="0" quotePrefix="0" xfId="0">
      <alignment vertical="center"/>
    </xf>
    <xf numFmtId="0" fontId="4" fillId="0" borderId="0" pivotButton="0" quotePrefix="0" xfId="0"/>
    <xf numFmtId="0" fontId="5" fillId="0" borderId="0" pivotButton="0" quotePrefix="0" xfId="0"/>
    <xf numFmtId="0" fontId="3" fillId="2" borderId="2" applyAlignment="1" pivotButton="0" quotePrefix="0" xfId="0">
      <alignment horizontal="center" vertical="center" wrapText="1"/>
    </xf>
    <xf numFmtId="0" fontId="6"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center" wrapText="1"/>
    </xf>
    <xf numFmtId="0" fontId="6" fillId="4"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horizontal="center" vertical="center" wrapText="1"/>
    </xf>
    <xf numFmtId="0" fontId="3" fillId="2" borderId="0" applyAlignment="1" pivotButton="0" quotePrefix="0" xfId="0">
      <alignment horizontal="center"/>
    </xf>
    <xf numFmtId="0" fontId="0" fillId="0" borderId="1" applyAlignment="1" pivotButton="0" quotePrefix="0" xfId="0">
      <alignment vertical="top" wrapText="1"/>
    </xf>
    <xf numFmtId="0" fontId="7" fillId="0" borderId="0" pivotButton="0" quotePrefix="0" xfId="0"/>
    <xf numFmtId="0" fontId="8" fillId="0" borderId="0" pivotButton="0" quotePrefix="0" xfId="0"/>
    <xf numFmtId="0" fontId="3" fillId="2" borderId="1" pivotButton="0" quotePrefix="0" xfId="0"/>
    <xf numFmtId="0" fontId="6" fillId="0" borderId="1" pivotButton="0" quotePrefix="0" xfId="0"/>
    <xf numFmtId="0" fontId="0" fillId="0" borderId="1" applyAlignment="1" pivotButton="0" quotePrefix="0" xfId="0">
      <alignment horizontal="right"/>
    </xf>
    <xf numFmtId="9" fontId="0" fillId="0" borderId="1" applyAlignment="1" pivotButton="0" quotePrefix="0" xfId="0">
      <alignment horizontal="right"/>
    </xf>
    <xf numFmtId="0" fontId="0" fillId="5" borderId="1" applyAlignment="1" pivotButton="0" quotePrefix="0" xfId="0">
      <alignment horizontal="center" vertical="top" wrapText="1"/>
    </xf>
    <xf numFmtId="0" fontId="0" fillId="5"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6" fillId="0" borderId="1" applyAlignment="1" pivotButton="0" quotePrefix="0" xfId="0">
      <alignment vertical="top" wrapText="1"/>
    </xf>
    <xf numFmtId="0" fontId="5" fillId="0" borderId="0" applyAlignment="1" pivotButton="0" quotePrefix="0" xfId="0">
      <alignment vertical="top" wrapText="1"/>
    </xf>
    <xf numFmtId="0" fontId="9" fillId="0" borderId="0" pivotButton="0" quotePrefix="0" xfId="0"/>
    <xf numFmtId="0" fontId="10" fillId="2" borderId="3" pivotButton="0" quotePrefix="0" xfId="0"/>
    <xf numFmtId="0" fontId="6" fillId="6" borderId="3" pivotButton="0" quotePrefix="0" xfId="0"/>
    <xf numFmtId="0" fontId="11" fillId="6" borderId="3" pivotButton="0" quotePrefix="0" xfId="0"/>
    <xf numFmtId="9" fontId="11" fillId="6" borderId="3" pivotButton="0" quotePrefix="0" xfId="0"/>
    <xf numFmtId="0" fontId="10" fillId="2" borderId="3" applyAlignment="1" pivotButton="0" quotePrefix="0" xfId="0">
      <alignment horizontal="center" vertical="center" wrapText="1"/>
    </xf>
    <xf numFmtId="0" fontId="11" fillId="7" borderId="3" applyAlignment="1" pivotButton="0" quotePrefix="0" xfId="0">
      <alignment horizontal="center" vertical="top" wrapText="1"/>
    </xf>
    <xf numFmtId="0" fontId="11" fillId="7" borderId="3" applyAlignment="1" pivotButton="0" quotePrefix="0" xfId="0">
      <alignment vertical="top" wrapText="1"/>
    </xf>
    <xf numFmtId="0" fontId="11" fillId="6" borderId="3" applyAlignment="1" pivotButton="0" quotePrefix="0" xfId="0">
      <alignment horizontal="center" vertical="top" wrapText="1"/>
    </xf>
    <xf numFmtId="0" fontId="11" fillId="6" borderId="3" applyAlignment="1" pivotButton="0" quotePrefix="0" xfId="0">
      <alignment vertical="top" wrapText="1"/>
    </xf>
    <xf numFmtId="0" fontId="12" fillId="0" borderId="0" pivotButton="0" quotePrefix="0" xfId="0"/>
    <xf numFmtId="0" fontId="6" fillId="8" borderId="3" pivotButton="0" quotePrefix="0" xfId="0"/>
    <xf numFmtId="0" fontId="10" fillId="2" borderId="3" applyAlignment="1" pivotButton="0" quotePrefix="0" xfId="0">
      <alignment horizontal="center" wrapText="1"/>
    </xf>
    <xf numFmtId="0" fontId="6" fillId="7" borderId="3" applyAlignment="1" pivotButton="0" quotePrefix="0" xfId="0">
      <alignment vertical="top" wrapText="1"/>
    </xf>
    <xf numFmtId="0" fontId="6" fillId="6" borderId="3" applyAlignment="1" pivotButton="0" quotePrefix="0" xfId="0">
      <alignment vertical="top" wrapText="1"/>
    </xf>
    <xf numFmtId="0" fontId="6" fillId="8" borderId="3" applyAlignment="1" pivotButton="0" quotePrefix="0" xfId="0">
      <alignment vertical="top" wrapText="1"/>
    </xf>
    <xf numFmtId="9" fontId="0" fillId="0" borderId="0" pivotButton="0" quotePrefix="0" xfId="0"/>
    <xf numFmtId="0" fontId="13" fillId="0" borderId="0" applyAlignment="1" pivotButton="0" quotePrefix="0" xfId="0">
      <alignment horizontal="left" vertical="top" wrapText="1"/>
    </xf>
    <xf numFmtId="0" fontId="14" fillId="0" borderId="0" applyAlignment="1" pivotButton="0" quotePrefix="0" xfId="0">
      <alignment horizontal="left" vertical="top" wrapText="1"/>
    </xf>
    <xf numFmtId="0" fontId="3" fillId="9" borderId="4" applyAlignment="1" pivotButton="0" quotePrefix="0" xfId="0">
      <alignment horizontal="center" vertical="center" wrapText="1"/>
    </xf>
    <xf numFmtId="0" fontId="15" fillId="0" borderId="4" applyAlignment="1" pivotButton="0" quotePrefix="0" xfId="0">
      <alignment horizontal="left" vertical="top" wrapText="1"/>
    </xf>
    <xf numFmtId="0" fontId="0" fillId="0" borderId="4" applyAlignment="1" pivotButton="0" quotePrefix="0" xfId="0">
      <alignment horizontal="left" vertical="top" wrapText="1"/>
    </xf>
    <xf numFmtId="0" fontId="15" fillId="10" borderId="4" applyAlignment="1" pivotButton="0" quotePrefix="0" xfId="0">
      <alignment horizontal="left" vertical="top" wrapText="1"/>
    </xf>
    <xf numFmtId="0" fontId="16" fillId="11" borderId="0" applyAlignment="1" pivotButton="0" quotePrefix="0" xfId="0">
      <alignment horizontal="left" vertical="top" wrapText="1"/>
    </xf>
    <xf numFmtId="0" fontId="0" fillId="0" borderId="4" applyAlignment="1" pivotButton="0" quotePrefix="0" xfId="0">
      <alignment vertical="top" wrapText="1"/>
    </xf>
    <xf numFmtId="0" fontId="3" fillId="9" borderId="4" applyAlignment="1" pivotButton="0" quotePrefix="0" xfId="0">
      <alignment horizontal="left" vertical="top" wrapText="1"/>
    </xf>
    <xf numFmtId="0" fontId="0" fillId="0" borderId="7" pivotButton="0" quotePrefix="0" xfId="0"/>
    <xf numFmtId="0" fontId="0" fillId="0" borderId="8" pivotButton="0" quotePrefix="0" xfId="0"/>
  </cellXfs>
  <cellStyles count="1">
    <cellStyle name="Normal" xfId="0" builtinId="0" hidden="0"/>
  </cellStyles>
  <dxfs count="4">
    <dxf>
      <font>
        <color rgb="003F8B42"/>
      </font>
      <fill>
        <patternFill patternType="solid">
          <fgColor rgb="00EAF7EE"/>
        </patternFill>
      </fill>
    </dxf>
    <dxf>
      <font>
        <color rgb="00F28C28"/>
      </font>
      <fill>
        <patternFill patternType="solid">
          <fgColor rgb="00FFF4E6"/>
        </patternFill>
      </fill>
    </dxf>
    <dxf>
      <font>
        <color rgb="00C5423C"/>
      </font>
      <fill>
        <patternFill patternType="solid">
          <fgColor rgb="00FDECEC"/>
        </patternFill>
      </fill>
    </dxf>
    <dxf>
      <font>
        <color rgb="003F73E6"/>
      </font>
      <fill>
        <patternFill patternType="solid">
          <fgColor rgb="00EAF1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t>Check Count by Area</a:t>
            </a:r>
          </a:p>
        </rich>
      </tx>
    </title>
    <plotArea>
      <barChart>
        <barDir val="col"/>
        <grouping val="clustered"/>
        <ser>
          <idx val="0"/>
          <order val="0"/>
          <tx>
            <strRef>
              <f>'Dashboard'!B5</f>
            </strRef>
          </tx>
          <spPr>
            <a:ln>
              <a:prstDash val="solid"/>
            </a:ln>
          </spPr>
          <cat>
            <numRef>
              <f>'Dashboard'!$A$6:$A$14</f>
            </numRef>
          </cat>
          <val>
            <numRef>
              <f>'Dashboard'!$B$6:$B$14</f>
            </numRef>
          </val>
        </ser>
        <gapWidth val="150"/>
        <axId val="10"/>
        <axId val="100"/>
      </barChart>
      <catAx>
        <axId val="10"/>
        <scaling>
          <orientation val="minMax"/>
        </scaling>
        <axPos val="l"/>
        <title>
          <tx>
            <rich>
              <a:bodyPr/>
              <a:p>
                <a:pPr>
                  <a:defRPr/>
                </a:pPr>
                <a:r>
                  <a:t>Area</a:t>
                </a:r>
              </a:p>
            </rich>
          </tx>
        </title>
        <majorTickMark val="none"/>
        <minorTickMark val="none"/>
        <crossAx val="100"/>
        <lblOffset val="100"/>
      </catAx>
      <valAx>
        <axId val="100"/>
        <scaling>
          <orientation val="minMax"/>
        </scaling>
        <axPos val="l"/>
        <majorGridlines/>
        <title>
          <tx>
            <rich>
              <a:bodyPr/>
              <a:p>
                <a:pPr>
                  <a:defRPr/>
                </a:pPr>
                <a:r>
                  <a:t>Checks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Story Progress</a:t>
            </a:r>
          </a:p>
        </rich>
      </tx>
    </title>
    <plotArea>
      <barChart>
        <barDir val="col"/>
        <grouping val="clustered"/>
        <ser>
          <idx val="0"/>
          <order val="0"/>
          <spPr>
            <a:ln>
              <a:prstDash val="solid"/>
            </a:ln>
          </spPr>
          <cat>
            <numRef>
              <f>'User Story Tracker'!$A$6:$A$10</f>
            </numRef>
          </cat>
          <val>
            <numRef>
              <f>'User Story Tracker'!$B$6:$B$10</f>
            </numRef>
          </val>
        </ser>
        <gapWidth val="150"/>
        <axId val="10"/>
        <axId val="100"/>
      </barChart>
      <catAx>
        <axId val="10"/>
        <scaling>
          <orientation val="minMax"/>
        </scaling>
        <axPos val="l"/>
        <title>
          <tx>
            <rich>
              <a:bodyPr/>
              <a:p>
                <a:pPr>
                  <a:defRPr/>
                </a:pPr>
                <a:r>
                  <a:t>Status</a:t>
                </a:r>
              </a:p>
            </rich>
          </tx>
        </title>
        <majorTickMark val="none"/>
        <minorTickMark val="none"/>
        <crossAx val="100"/>
        <lblOffset val="100"/>
      </catAx>
      <valAx>
        <axId val="100"/>
        <scaling>
          <orientation val="minMax"/>
        </scaling>
        <axPos val="l"/>
        <majorGridlines/>
        <title>
          <tx>
            <rich>
              <a:bodyPr/>
              <a:p>
                <a:pPr>
                  <a:defRPr/>
                </a:pPr>
                <a:r>
                  <a:t>Stories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4</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UserStoryTable" displayName="UserStoryTable" ref="A14:K88" headerRowCount="1">
  <autoFilter ref="A14:K88"/>
  <tableColumns count="11">
    <tableColumn id="1" name="Story ID"/>
    <tableColumn id="2" name="Story Title"/>
    <tableColumn id="3" name="User Story"/>
    <tableColumn id="4" name="Priority"/>
    <tableColumn id="5" name="Status"/>
    <tableColumn id="6" name="Feature Area"/>
    <tableColumn id="7" name="Acceptance Criteria"/>
    <tableColumn id="8" name="Owner"/>
    <tableColumn id="9" name="Target Date"/>
    <tableColumn id="10" name="Completed Date"/>
    <tableColumn id="11" name="Notes / Blockers"/>
  </tableColumns>
  <tableStyleInfo name="TableStyleMedium2" showFirstColumn="0" showLastColumn="0" showRowStripes="0" showColumnStripes="0"/>
</table>
</file>

<file path=xl/tables/table2.xml><?xml version="1.0" encoding="utf-8"?>
<table xmlns="http://schemas.openxmlformats.org/spreadsheetml/2006/main" id="2" name="LoadCellErrorMetrics" displayName="LoadCellErrorMetrics" ref="A7:F10" headerRowCount="1">
  <autoFilter ref="A7:F10"/>
  <tableColumns count="6">
    <tableColumn id="1" name="Metric"/>
    <tableColumn id="2" name="Definition"/>
    <tableColumn id="3" name="Error (datasheet)"/>
    <tableColumn id="4" name="Error in pounds"/>
    <tableColumn id="5" name="Error in Newtons"/>
    <tableColumn id="6" name="Error in kPa if surface area is 325 mm2"/>
  </tableColumns>
  <tableStyleInfo name="TableStyleMedium2" showFirstColumn="0" showLastColumn="0" showRowStripes="0" showColumnStripes="0"/>
</table>
</file>

<file path=xl/tables/table3.xml><?xml version="1.0" encoding="utf-8"?>
<table xmlns="http://schemas.openxmlformats.org/spreadsheetml/2006/main" id="3" name="FullChecklistTable" displayName="FullChecklistTable" ref="A1:J84" headerRowCount="1">
  <autoFilter ref="A1:J84"/>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4.xml><?xml version="1.0" encoding="utf-8"?>
<table xmlns="http://schemas.openxmlformats.org/spreadsheetml/2006/main" id="4" name="BasicSettingsTable" displayName="BasicSettingsTable" ref="A1:J13" headerRowCount="1">
  <autoFilter ref="A1:J13"/>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5.xml><?xml version="1.0" encoding="utf-8"?>
<table xmlns="http://schemas.openxmlformats.org/spreadsheetml/2006/main" id="5" name="TestConfigurationTable" displayName="TestConfigurationTable" ref="A1:J10" headerRowCount="1">
  <autoFilter ref="A1:J10"/>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6.xml><?xml version="1.0" encoding="utf-8"?>
<table xmlns="http://schemas.openxmlformats.org/spreadsheetml/2006/main" id="6" name="FolderExistingTestsTable" displayName="FolderExistingTestsTable" ref="A1:J11" headerRowCount="1">
  <autoFilter ref="A1:J11"/>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7.xml><?xml version="1.0" encoding="utf-8"?>
<table xmlns="http://schemas.openxmlformats.org/spreadsheetml/2006/main" id="7" name="EMTestTable" displayName="EMTestTable" ref="A1:J10" headerRowCount="1">
  <autoFilter ref="A1:J10"/>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8.xml><?xml version="1.0" encoding="utf-8"?>
<table xmlns="http://schemas.openxmlformats.org/spreadsheetml/2006/main" id="8" name="ShearTestTable" displayName="ShearTestTable" ref="A1:J10" headerRowCount="1">
  <autoFilter ref="A1:J10"/>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9.xml><?xml version="1.0" encoding="utf-8"?>
<table xmlns="http://schemas.openxmlformats.org/spreadsheetml/2006/main" id="9" name="ManualTestTable" displayName="ManualTestTable" ref="A1:J12" headerRowCount="1">
  <autoFilter ref="A1:J12"/>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10.xml><?xml version="1.0" encoding="utf-8"?>
<table xmlns="http://schemas.openxmlformats.org/spreadsheetml/2006/main" id="10" name="CyclicalTestTable" displayName="CyclicalTestTable" ref="A1:J11" headerRowCount="1">
  <autoFilter ref="A1:J11"/>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11.xml><?xml version="1.0" encoding="utf-8"?>
<table xmlns="http://schemas.openxmlformats.org/spreadsheetml/2006/main" id="11" name="AnalysisTable" displayName="AnalysisTable" ref="A1:J8" headerRowCount="1">
  <autoFilter ref="A1:J8"/>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ables/table12.xml><?xml version="1.0" encoding="utf-8"?>
<table xmlns="http://schemas.openxmlformats.org/spreadsheetml/2006/main" id="12" name="DetectionReportsTable" displayName="DetectionReportsTable" ref="A1:J7" headerRowCount="1">
  <autoFilter ref="A1:J7"/>
  <tableColumns count="10">
    <tableColumn id="1" name="Area"/>
    <tableColumn id="2" name="Check"/>
    <tableColumn id="3" name="When It Happens"/>
    <tableColumn id="4" name="Pass Condition"/>
    <tableColumn id="5" name="If It Fails / Action"/>
    <tableColumn id="6" name="Priority"/>
    <tableColumn id="7" name="Status"/>
    <tableColumn id="8" name="Owner"/>
    <tableColumn id="9" name="Verified"/>
    <tableColumn id="1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tabColor rgb="003F73E6"/>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Zaber GUI Checks Documentation</t>
        </is>
      </c>
    </row>
    <row r="2">
      <c r="A2" s="2" t="inlineStr">
        <is>
          <t>Generated 2026-05-26 | Import this workbook into Google Sheets or open it from Drive.</t>
        </is>
      </c>
    </row>
    <row r="5">
      <c r="A5" s="3" t="inlineStr">
        <is>
          <t>Area</t>
        </is>
      </c>
      <c r="B5" s="3" t="inlineStr">
        <is>
          <t>Check Count</t>
        </is>
      </c>
      <c r="C5" s="3" t="inlineStr">
        <is>
          <t>Must</t>
        </is>
      </c>
      <c r="D5" s="3" t="inlineStr">
        <is>
          <t>Should</t>
        </is>
      </c>
      <c r="E5" s="3" t="inlineStr">
        <is>
          <t>Implemented</t>
        </is>
      </c>
      <c r="F5" s="3" t="inlineStr">
        <is>
          <t>Needs Review</t>
        </is>
      </c>
    </row>
    <row r="6">
      <c r="A6" s="4" t="inlineStr">
        <is>
          <t>Basic Settings</t>
        </is>
      </c>
      <c r="B6" s="4" t="n">
        <v>12</v>
      </c>
      <c r="C6" s="4" t="n">
        <v>10</v>
      </c>
      <c r="D6" s="4" t="n">
        <v>2</v>
      </c>
      <c r="E6" s="4" t="n">
        <v>12</v>
      </c>
      <c r="F6" s="4" t="n">
        <v>0</v>
      </c>
    </row>
    <row r="7">
      <c r="A7" s="5" t="inlineStr">
        <is>
          <t>Test Configuration</t>
        </is>
      </c>
      <c r="B7" s="5" t="n">
        <v>9</v>
      </c>
      <c r="C7" s="5" t="n">
        <v>9</v>
      </c>
      <c r="D7" s="5" t="n">
        <v>0</v>
      </c>
      <c r="E7" s="5" t="n">
        <v>9</v>
      </c>
      <c r="F7" s="5" t="n">
        <v>0</v>
      </c>
    </row>
    <row r="8">
      <c r="A8" s="4" t="inlineStr">
        <is>
          <t>Folder / Existing Tests</t>
        </is>
      </c>
      <c r="B8" s="4" t="n">
        <v>10</v>
      </c>
      <c r="C8" s="4" t="n">
        <v>9</v>
      </c>
      <c r="D8" s="4" t="n">
        <v>1</v>
      </c>
      <c r="E8" s="4" t="n">
        <v>10</v>
      </c>
      <c r="F8" s="4" t="n">
        <v>0</v>
      </c>
    </row>
    <row r="9">
      <c r="A9" s="5" t="inlineStr">
        <is>
          <t>EM Test</t>
        </is>
      </c>
      <c r="B9" s="5" t="n">
        <v>9</v>
      </c>
      <c r="C9" s="5" t="n">
        <v>9</v>
      </c>
      <c r="D9" s="5" t="n">
        <v>0</v>
      </c>
      <c r="E9" s="5" t="n">
        <v>9</v>
      </c>
      <c r="F9" s="5" t="n">
        <v>0</v>
      </c>
    </row>
    <row r="10">
      <c r="A10" s="4" t="inlineStr">
        <is>
          <t>Shear Test</t>
        </is>
      </c>
      <c r="B10" s="4" t="n">
        <v>9</v>
      </c>
      <c r="C10" s="4" t="n">
        <v>9</v>
      </c>
      <c r="D10" s="4" t="n">
        <v>0</v>
      </c>
      <c r="E10" s="4" t="n">
        <v>9</v>
      </c>
      <c r="F10" s="4" t="n">
        <v>0</v>
      </c>
    </row>
    <row r="11">
      <c r="A11" s="5" t="inlineStr">
        <is>
          <t>Manual Test</t>
        </is>
      </c>
      <c r="B11" s="5" t="n">
        <v>11</v>
      </c>
      <c r="C11" s="5" t="n">
        <v>10</v>
      </c>
      <c r="D11" s="5" t="n">
        <v>1</v>
      </c>
      <c r="E11" s="5" t="n">
        <v>11</v>
      </c>
      <c r="F11" s="5" t="n">
        <v>0</v>
      </c>
    </row>
    <row r="12">
      <c r="A12" s="4" t="inlineStr">
        <is>
          <t>Cyclical Test</t>
        </is>
      </c>
      <c r="B12" s="4" t="n">
        <v>10</v>
      </c>
      <c r="C12" s="4" t="n">
        <v>10</v>
      </c>
      <c r="D12" s="4" t="n">
        <v>0</v>
      </c>
      <c r="E12" s="4" t="n">
        <v>10</v>
      </c>
      <c r="F12" s="4" t="n">
        <v>0</v>
      </c>
    </row>
    <row r="13">
      <c r="A13" s="5" t="inlineStr">
        <is>
          <t>Analysis</t>
        </is>
      </c>
      <c r="B13" s="5" t="n">
        <v>7</v>
      </c>
      <c r="C13" s="5" t="n">
        <v>7</v>
      </c>
      <c r="D13" s="5" t="n">
        <v>0</v>
      </c>
      <c r="E13" s="5" t="n">
        <v>7</v>
      </c>
      <c r="F13" s="5" t="n">
        <v>0</v>
      </c>
    </row>
    <row r="14">
      <c r="A14" s="4" t="inlineStr">
        <is>
          <t>Detection / Reports</t>
        </is>
      </c>
      <c r="B14" s="4" t="n">
        <v>6</v>
      </c>
      <c r="C14" s="4" t="n">
        <v>6</v>
      </c>
      <c r="D14" s="4" t="n">
        <v>0</v>
      </c>
      <c r="E14" s="4" t="n">
        <v>6</v>
      </c>
      <c r="F14" s="4" t="n">
        <v>0</v>
      </c>
    </row>
    <row r="18">
      <c r="A18" s="6" t="inlineStr">
        <is>
          <t>How to use this workbook</t>
        </is>
      </c>
    </row>
    <row r="19">
      <c r="A19" s="7" t="inlineStr">
        <is>
          <t>• Use Full Checklist as the master documentation table.</t>
        </is>
      </c>
    </row>
    <row r="20">
      <c r="A20" s="7" t="inlineStr">
        <is>
          <t>• Use each area tab for focused review with your boss/team.</t>
        </is>
      </c>
    </row>
    <row r="21">
      <c r="A21" s="7" t="inlineStr">
        <is>
          <t>• Update Owner, Verified, and Notes as implementation is tested.</t>
        </is>
      </c>
    </row>
    <row r="22">
      <c r="A22" s="7" t="inlineStr">
        <is>
          <t>• Use filters in row 1 of each checklist table to view Must/Should or unverified checks.</t>
        </is>
      </c>
    </row>
  </sheetData>
  <mergeCells count="2">
    <mergeCell ref="A2:F2"/>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88"/>
  <sheetViews>
    <sheetView showGridLines="0" workbookViewId="0">
      <pane ySplit="14" topLeftCell="A15" activePane="bottomLeft" state="frozen"/>
      <selection pane="bottomLeft" activeCell="A1" sqref="A1"/>
    </sheetView>
  </sheetViews>
  <sheetFormatPr baseColWidth="8" defaultRowHeight="15"/>
  <cols>
    <col width="14" customWidth="1" min="1" max="1"/>
    <col width="26" customWidth="1" min="2" max="2"/>
    <col width="55" customWidth="1" min="3" max="3"/>
    <col width="12" customWidth="1" min="4" max="4"/>
    <col width="16" customWidth="1" min="5" max="5"/>
    <col width="18" customWidth="1" min="6" max="6"/>
    <col width="72" customWidth="1" min="7" max="7"/>
    <col width="14" customWidth="1" min="8" max="8"/>
    <col width="16" customWidth="1" min="9" max="9"/>
    <col width="16" customWidth="1" min="10" max="10"/>
    <col width="42" customWidth="1" min="11" max="11"/>
  </cols>
  <sheetData>
    <row r="1">
      <c r="A1" s="17" t="inlineStr">
        <is>
          <t>User Story Tracker</t>
        </is>
      </c>
    </row>
    <row r="2">
      <c r="A2" s="29" t="inlineStr">
        <is>
          <t>track feature requirements, progress, blockers, and testing for the zaber gui project</t>
        </is>
      </c>
    </row>
    <row r="4">
      <c r="A4" s="30" t="inlineStr">
        <is>
          <t>Metric</t>
        </is>
      </c>
      <c r="C4" s="30" t="inlineStr">
        <is>
          <t>Count</t>
        </is>
      </c>
    </row>
    <row r="5">
      <c r="A5" s="31" t="inlineStr">
        <is>
          <t>Total Stories</t>
        </is>
      </c>
      <c r="B5">
        <f>COUNTA(A15:A88)</f>
        <v/>
      </c>
      <c r="C5" s="32">
        <f>COUNTA(A15:A88)</f>
        <v/>
      </c>
    </row>
    <row r="6">
      <c r="A6" s="31" t="inlineStr">
        <is>
          <t>Done</t>
        </is>
      </c>
      <c r="B6">
        <f>COUNTIF(E15:E88,"Done")</f>
        <v/>
      </c>
      <c r="C6" s="32">
        <f>COUNTIF(D15:D88,"Done")</f>
        <v/>
      </c>
    </row>
    <row r="7">
      <c r="A7" s="31" t="inlineStr">
        <is>
          <t>In Progress</t>
        </is>
      </c>
      <c r="B7">
        <f>COUNTIF(E15:E88,"In Progress")</f>
        <v/>
      </c>
      <c r="C7" s="32">
        <f>COUNTIF(D15:D88,"In Progress")</f>
        <v/>
      </c>
    </row>
    <row r="8">
      <c r="A8" s="31" t="inlineStr">
        <is>
          <t>Ready to Test</t>
        </is>
      </c>
      <c r="B8">
        <f>COUNTIF(E15:E88,"Ready to Test")</f>
        <v/>
      </c>
      <c r="C8" s="32">
        <f>COUNTIF(D15:D88,"Ready to Test")</f>
        <v/>
      </c>
    </row>
    <row r="9">
      <c r="A9" s="31" t="inlineStr">
        <is>
          <t>Blocked</t>
        </is>
      </c>
      <c r="B9">
        <f>COUNTIF(E15:E88,"Blocked")</f>
        <v/>
      </c>
      <c r="C9" s="32">
        <f>COUNTIF(D15:D88,"Blocked")</f>
        <v/>
      </c>
    </row>
    <row r="10">
      <c r="A10" s="31" t="inlineStr">
        <is>
          <t>Not Started</t>
        </is>
      </c>
      <c r="B10">
        <f>COUNTIF(E15:E88,"Not Started")</f>
        <v/>
      </c>
      <c r="C10" s="32">
        <f>COUNTIF(D15:D88,"Not Started")</f>
        <v/>
      </c>
    </row>
    <row r="11">
      <c r="A11" s="31" t="inlineStr">
        <is>
          <t>Percent Done</t>
        </is>
      </c>
      <c r="B11" s="45">
        <f>IF(B5=0,0,B6/B5)</f>
        <v/>
      </c>
      <c r="C11" s="33">
        <f>IF(B5=0,0,B6/B5)</f>
        <v/>
      </c>
    </row>
    <row r="14" ht="28" customHeight="1">
      <c r="A14" s="34" t="inlineStr">
        <is>
          <t>Story ID</t>
        </is>
      </c>
      <c r="B14" s="34" t="inlineStr">
        <is>
          <t>Story Title</t>
        </is>
      </c>
      <c r="C14" s="34" t="inlineStr">
        <is>
          <t>User Story</t>
        </is>
      </c>
      <c r="D14" s="34" t="inlineStr">
        <is>
          <t>Priority</t>
        </is>
      </c>
      <c r="E14" s="34" t="inlineStr">
        <is>
          <t>Status</t>
        </is>
      </c>
      <c r="F14" s="34" t="inlineStr">
        <is>
          <t>Feature Area</t>
        </is>
      </c>
      <c r="G14" s="34" t="inlineStr">
        <is>
          <t>Acceptance Criteria</t>
        </is>
      </c>
      <c r="H14" s="34" t="inlineStr">
        <is>
          <t>Owner</t>
        </is>
      </c>
      <c r="I14" s="34" t="inlineStr">
        <is>
          <t>Target Date</t>
        </is>
      </c>
      <c r="J14" s="34" t="inlineStr">
        <is>
          <t>Completed Date</t>
        </is>
      </c>
      <c r="K14" s="34" t="inlineStr">
        <is>
          <t>Notes / Blockers</t>
        </is>
      </c>
    </row>
    <row r="15" ht="58" customHeight="1">
      <c r="A15" s="35" t="inlineStr">
        <is>
          <t>1.1.1</t>
        </is>
      </c>
      <c r="B15" s="35" t="inlineStr">
        <is>
          <t>Main Window</t>
        </is>
      </c>
      <c r="C15" s="36" t="inlineStr">
        <is>
          <t>As a test fixture operator, I want the Main Window to clearly display the basic setup fields so that I can prepare and run a sensor test from one central interface.</t>
        </is>
      </c>
      <c r="D15" s="35" t="inlineStr">
        <is>
          <t>must</t>
        </is>
      </c>
      <c r="E15" s="35" t="inlineStr">
        <is>
          <t>Not Started</t>
        </is>
      </c>
      <c r="F15" s="35" t="inlineStr">
        <is>
          <t>Main Window</t>
        </is>
      </c>
      <c r="G15" s="36" t="inlineStr">
        <is>
          <t>When the application opens, it shows the title “Zaber Stage Testing Setup.” The first view establishes the main page sections for setup.</t>
        </is>
      </c>
      <c r="H15" s="35" t="inlineStr"/>
      <c r="I15" s="35" t="inlineStr"/>
      <c r="J15" s="35" t="inlineStr"/>
      <c r="K15" s="36" t="inlineStr">
        <is>
          <t>Does not need to create buttons/widgets for settings; this story defines section titles.</t>
        </is>
      </c>
    </row>
    <row r="16" ht="58" customHeight="1">
      <c r="A16" s="37" t="inlineStr">
        <is>
          <t>1.1.2</t>
        </is>
      </c>
      <c r="B16" s="37" t="inlineStr">
        <is>
          <t>Save Folder Field</t>
        </is>
      </c>
      <c r="C16" s="38" t="inlineStr">
        <is>
          <t>As a test fixture operator, I want to choose where test outputs are saved so that plots, Excel files, and analysis results are stored in the correct folder.</t>
        </is>
      </c>
      <c r="D16" s="37" t="inlineStr">
        <is>
          <t>must</t>
        </is>
      </c>
      <c r="E16" s="37" t="inlineStr">
        <is>
          <t>Not Started</t>
        </is>
      </c>
      <c r="F16" s="37" t="inlineStr">
        <is>
          <t>Main Window</t>
        </is>
      </c>
      <c r="G16" s="38" t="inlineStr">
        <is>
          <t>User can type or browse for a save folder. If no folder is selected, use the default/root directory. Missing folders are created as needed. Info note: “Missing folders will be automatically created before a run.”</t>
        </is>
      </c>
      <c r="H16" s="37" t="inlineStr"/>
      <c r="I16" s="37" t="inlineStr"/>
      <c r="J16" s="37" t="inlineStr"/>
      <c r="K16" s="38" t="inlineStr"/>
    </row>
    <row r="17" ht="58" customHeight="1">
      <c r="A17" s="35" t="inlineStr">
        <is>
          <t>1.1.3</t>
        </is>
      </c>
      <c r="B17" s="35" t="inlineStr">
        <is>
          <t>Sensor ID Field</t>
        </is>
      </c>
      <c r="C17" s="36" t="inlineStr">
        <is>
          <t>As a test fixture user, I want to enter the Sensor ID through one connected segmented field so that the ID format is easier to follow and less likely to be mistyped.</t>
        </is>
      </c>
      <c r="D17" s="35" t="inlineStr">
        <is>
          <t>must</t>
        </is>
      </c>
      <c r="E17" s="35" t="inlineStr">
        <is>
          <t>Not Started</t>
        </is>
      </c>
      <c r="F17" s="35" t="inlineStr">
        <is>
          <t>Main Window</t>
        </is>
      </c>
      <c r="G17" s="36" t="inlineStr">
        <is>
          <t>Sensor ID is entered as connected segments: YY, MM, DD, Batch, Sensor, Location. Batch has fixed B prefix; Sensor has fixed S prefix. Format YYMMDDB##S##X. Location can be A, B, or AB. Completed ID is used in messages, saved outputs, and analysis.</t>
        </is>
      </c>
      <c r="H17" s="35" t="inlineStr"/>
      <c r="I17" s="35" t="inlineStr"/>
      <c r="J17" s="35" t="inlineStr"/>
      <c r="K17" s="36" t="inlineStr"/>
    </row>
    <row r="18" ht="58" customHeight="1">
      <c r="A18" s="37" t="inlineStr">
        <is>
          <t>1.1.4</t>
        </is>
      </c>
      <c r="B18" s="37" t="inlineStr">
        <is>
          <t>Custom Sensor ID Checkbox</t>
        </is>
      </c>
      <c r="C18" s="38" t="inlineStr">
        <is>
          <t>As a test fixture user, I want the option to use a custom Sensor ID so that I can test experimental or nonstandard sensors.</t>
        </is>
      </c>
      <c r="D18" s="37" t="inlineStr">
        <is>
          <t>must</t>
        </is>
      </c>
      <c r="E18" s="37" t="inlineStr">
        <is>
          <t>Not Started</t>
        </is>
      </c>
      <c r="F18" s="37" t="inlineStr">
        <is>
          <t>Main Window</t>
        </is>
      </c>
      <c r="G18" s="38" t="inlineStr">
        <is>
          <t>Includes “Use Custom Sensor ID” checkbox. When unchecked, segmented Sensor ID is active. When checked, segmented field is disabled and custom free-text field is active. Custom ID is used for testing, saving, and analysis.</t>
        </is>
      </c>
      <c r="H18" s="37" t="inlineStr"/>
      <c r="I18" s="37" t="inlineStr"/>
      <c r="J18" s="37" t="inlineStr"/>
      <c r="K18" s="38" t="inlineStr"/>
    </row>
    <row r="19" ht="58" customHeight="1">
      <c r="A19" s="35" t="inlineStr">
        <is>
          <t>1.1.5</t>
        </is>
      </c>
      <c r="B19" s="35" t="inlineStr">
        <is>
          <t>Sensor ID Validation/Preview</t>
        </is>
      </c>
      <c r="C19" s="36" t="inlineStr">
        <is>
          <t>As a test fixture user, I want the GUI to validate Sensor ID formatting so that mistyped sensor IDs do not cause data to be saved under the wrong sensor.</t>
        </is>
      </c>
      <c r="D19" s="35" t="inlineStr">
        <is>
          <t>must</t>
        </is>
      </c>
      <c r="E19" s="35" t="inlineStr">
        <is>
          <t>Not Started</t>
        </is>
      </c>
      <c r="F19" s="35" t="inlineStr">
        <is>
          <t>Main Window</t>
        </is>
      </c>
      <c r="G19" s="36" t="inlineStr">
        <is>
          <t>If all segments are complete, full generated Sensor ID displays. If missing, displays “Sensor ID: complete all segments.” Preview updates whenever any segment changes.</t>
        </is>
      </c>
      <c r="H19" s="35" t="inlineStr"/>
      <c r="I19" s="35" t="inlineStr"/>
      <c r="J19" s="35" t="inlineStr"/>
      <c r="K19" s="36" t="inlineStr"/>
    </row>
    <row r="20" ht="58" customHeight="1">
      <c r="A20" s="37" t="inlineStr">
        <is>
          <t>1.1.6</t>
        </is>
      </c>
      <c r="B20" s="37" t="inlineStr">
        <is>
          <t>Sensor Type Drop Down</t>
        </is>
      </c>
      <c r="C20" s="38" t="inlineStr">
        <is>
          <t>As a test fixture user, I want to select the sensor type so that the system can interpret the sensor data using the correct firmware/channel configuration.</t>
        </is>
      </c>
      <c r="D20" s="37" t="inlineStr">
        <is>
          <t>must</t>
        </is>
      </c>
      <c r="E20" s="37" t="inlineStr">
        <is>
          <t>Not Started</t>
        </is>
      </c>
      <c r="F20" s="37" t="inlineStr">
        <is>
          <t>Main Window</t>
        </is>
      </c>
      <c r="G20" s="38" t="inlineStr">
        <is>
          <t>Sensor Type dropdown includes Standard and Inverted. Standard order is [1,2,3,4,5,6,7,8]. Inverted order is [1,2,3,4,8,7,6,5]. Standard is default. Sensor Type passes into analysis. Includes info note.</t>
        </is>
      </c>
      <c r="H20" s="37" t="inlineStr"/>
      <c r="I20" s="37" t="inlineStr"/>
      <c r="J20" s="37" t="inlineStr"/>
      <c r="K20" s="38" t="inlineStr"/>
    </row>
    <row r="21" ht="58" customHeight="1">
      <c r="A21" s="35" t="inlineStr">
        <is>
          <t>1.1.7</t>
        </is>
      </c>
      <c r="B21" s="35" t="inlineStr">
        <is>
          <t>Verify Settings Button</t>
        </is>
      </c>
      <c r="C21" s="36" t="inlineStr">
        <is>
          <t>As a test fixture user, I want to click Verify Settings so that I can confirm the setup parameters before the test begins.</t>
        </is>
      </c>
      <c r="D21" s="35" t="inlineStr">
        <is>
          <t>must</t>
        </is>
      </c>
      <c r="E21" s="35" t="inlineStr">
        <is>
          <t>Not Started</t>
        </is>
      </c>
      <c r="F21" s="35" t="inlineStr">
        <is>
          <t>Main Window</t>
        </is>
      </c>
      <c r="G21" s="36" t="inlineStr">
        <is>
          <t>Verify blocks continuation for missing Save Folder, Custom Sensor ID, Sensor Type, incomplete Sensor ID segments, or invalid Sensor ID segment values. If pre-existing tests from the same day exist, Existing Test Found dialog opens. If valid, Test Configuration becomes visible.</t>
        </is>
      </c>
      <c r="H21" s="35" t="inlineStr"/>
      <c r="I21" s="35" t="inlineStr"/>
      <c r="J21" s="35" t="inlineStr"/>
      <c r="K21" s="36" t="inlineStr"/>
    </row>
    <row r="22" ht="58" customHeight="1">
      <c r="A22" s="37" t="inlineStr">
        <is>
          <t>1.1.8</t>
        </is>
      </c>
      <c r="B22" s="37" t="inlineStr">
        <is>
          <t>Basic Settings Reverification Behavior</t>
        </is>
      </c>
      <c r="C22" s="38" t="inlineStr">
        <is>
          <t>As a test fixture user, I want the Test Configuration section to disappear when Basic Settings are changed so that tests cannot begin using outdated or unverified setup information.</t>
        </is>
      </c>
      <c r="D22" s="37" t="inlineStr">
        <is>
          <t>must</t>
        </is>
      </c>
      <c r="E22" s="37" t="inlineStr">
        <is>
          <t>Not Started</t>
        </is>
      </c>
      <c r="F22" s="37" t="inlineStr">
        <is>
          <t>Main Window</t>
        </is>
      </c>
      <c r="G22" s="38" t="inlineStr">
        <is>
          <t>If any Basic Settings field changes after verification, Test Configuration disappears. GUI displays “Basic settings changed. Please click Verify again.” User must verify again before continuing.</t>
        </is>
      </c>
      <c r="H22" s="37" t="inlineStr"/>
      <c r="I22" s="37" t="inlineStr"/>
      <c r="J22" s="37" t="inlineStr"/>
      <c r="K22" s="38" t="inlineStr"/>
    </row>
    <row r="23" ht="58" customHeight="1">
      <c r="A23" s="35" t="inlineStr">
        <is>
          <t>1.1.9</t>
        </is>
      </c>
      <c r="B23" s="35" t="inlineStr">
        <is>
          <t>Info Icons</t>
        </is>
      </c>
      <c r="C23" s="36" t="inlineStr">
        <is>
          <t>As a test fixture user, I want informational help icons throughout the window so that I can quickly understand fields, workflows, and testing terminology without needing external documentation.</t>
        </is>
      </c>
      <c r="D23" s="35" t="inlineStr">
        <is>
          <t>must</t>
        </is>
      </c>
      <c r="E23" s="35" t="inlineStr">
        <is>
          <t>Not Started</t>
        </is>
      </c>
      <c r="F23" s="35" t="inlineStr">
        <is>
          <t>Main Window</t>
        </is>
      </c>
      <c r="G23" s="36" t="inlineStr">
        <is>
          <t>Info icons appear beside important labels/controls. Hover shows concise tooltip. Tooltip disappears on mouse away and does not block UI unnecessarily.</t>
        </is>
      </c>
      <c r="H23" s="35" t="inlineStr"/>
      <c r="I23" s="35" t="inlineStr"/>
      <c r="J23" s="35" t="inlineStr"/>
      <c r="K23" s="36" t="inlineStr"/>
    </row>
    <row r="24" ht="58" customHeight="1">
      <c r="A24" s="37" t="inlineStr">
        <is>
          <t>1.2.1</t>
        </is>
      </c>
      <c r="B24" s="37" t="inlineStr">
        <is>
          <t>Existing Test Found Popup</t>
        </is>
      </c>
      <c r="C24" s="38" t="inlineStr">
        <is>
          <t>As a test fixture user, I want the software to warn me when a matching test folder already exists for a specified sensor so that I can decide how to continue without accidentally overwriting previous data.</t>
        </is>
      </c>
      <c r="D24" s="37" t="inlineStr">
        <is>
          <t>must</t>
        </is>
      </c>
      <c r="E24" s="37" t="inlineStr">
        <is>
          <t>Not Started</t>
        </is>
      </c>
      <c r="F24" s="37" t="inlineStr">
        <is>
          <t>Existing Test Found</t>
        </is>
      </c>
      <c r="G24" s="38" t="inlineStr">
        <is>
          <t>If an existing test-session folder exists, GUI displays “Existing Test Found” popup with full existing path and message that a test folder already exists for this Sensor ID and test configuration.</t>
        </is>
      </c>
      <c r="H24" s="37" t="inlineStr"/>
      <c r="I24" s="37" t="inlineStr"/>
      <c r="J24" s="37" t="inlineStr"/>
      <c r="K24" s="38" t="inlineStr"/>
    </row>
    <row r="25" ht="58" customHeight="1">
      <c r="A25" s="35" t="inlineStr">
        <is>
          <t>1.2.2</t>
        </is>
      </c>
      <c r="B25" s="35" t="inlineStr">
        <is>
          <t>Redo a Specific Run Button</t>
        </is>
      </c>
      <c r="C25" s="36" t="inlineStr">
        <is>
          <t>As a test fixture user, I want to redo a specific run from an existing test so that I can repeat failed or invalid runs without restarting the entire test session.</t>
        </is>
      </c>
      <c r="D25" s="35" t="inlineStr">
        <is>
          <t>must</t>
        </is>
      </c>
      <c r="E25" s="35" t="inlineStr">
        <is>
          <t>Not Started</t>
        </is>
      </c>
      <c r="F25" s="35" t="inlineStr">
        <is>
          <t>Existing Test Found</t>
        </is>
      </c>
      <c r="G25" s="36" t="inlineStr">
        <is>
          <t>Popup includes “Redo a Specific Run.” Redo a Specific Run functionality only applies to EM Testing workflows (not supported for Shear, Manual, or Cyclical testing). If the existing test was created from a Shear, Manual, or Cyclical test, the “Redo a Specific Run” button is disabled. Clicking the button opens Test Configuration in Redo Run mode. In Redo Run mode, EM Test is locked, Number of Runs is 1 and locked, Run to Redo is enabled, and the system repeats only the selected run.</t>
        </is>
      </c>
      <c r="H25" s="35" t="inlineStr"/>
      <c r="I25" s="35" t="inlineStr"/>
      <c r="J25" s="35" t="inlineStr"/>
      <c r="K25" s="36" t="inlineStr"/>
    </row>
    <row r="26" ht="58" customHeight="1">
      <c r="A26" s="37" t="inlineStr">
        <is>
          <t>1.2.3</t>
        </is>
      </c>
      <c r="B26" s="37" t="inlineStr">
        <is>
          <t>Overwrite Existing Test Button</t>
        </is>
      </c>
      <c r="C26" s="38" t="inlineStr">
        <is>
          <t>As a test fixture user, I want the option to overwrite an existing test folder so that I can intentionally replace previous test data when needed.</t>
        </is>
      </c>
      <c r="D26" s="37" t="inlineStr">
        <is>
          <t>must</t>
        </is>
      </c>
      <c r="E26" s="37" t="inlineStr">
        <is>
          <t>Not Started</t>
        </is>
      </c>
      <c r="F26" s="37" t="inlineStr">
        <is>
          <t>Existing Test Found</t>
        </is>
      </c>
      <c r="G26" s="38" t="inlineStr">
        <is>
          <t>Popup includes “Overwrite Existing Test.” Clicking allows current workflow to overwrite existing test-session folder and outputs after confirmation warning.</t>
        </is>
      </c>
      <c r="H26" s="37" t="inlineStr"/>
      <c r="I26" s="37" t="inlineStr"/>
      <c r="J26" s="37" t="inlineStr"/>
      <c r="K26" s="38" t="inlineStr"/>
    </row>
    <row r="27" ht="58" customHeight="1">
      <c r="A27" s="35" t="inlineStr">
        <is>
          <t>1.2.4</t>
        </is>
      </c>
      <c r="B27" s="35" t="inlineStr">
        <is>
          <t>Create New Versioned Test Folder Button</t>
        </is>
      </c>
      <c r="C27" s="36" t="inlineStr">
        <is>
          <t>As a test fixture user, I want to create a new versioned test folder so that I can preserve previous test data while starting a new test session.</t>
        </is>
      </c>
      <c r="D27" s="35" t="inlineStr">
        <is>
          <t>must</t>
        </is>
      </c>
      <c r="E27" s="35" t="inlineStr">
        <is>
          <t>Not Started</t>
        </is>
      </c>
      <c r="F27" s="35" t="inlineStr">
        <is>
          <t>Existing Test Found</t>
        </is>
      </c>
      <c r="G27" s="36" t="inlineStr">
        <is>
          <t>Popup includes “Create New Versioned Test Folder.” New versioned test-session folder is used for all new FUT, CAP, and analysis outputs.</t>
        </is>
      </c>
      <c r="H27" s="35" t="inlineStr"/>
      <c r="I27" s="35" t="inlineStr"/>
      <c r="J27" s="35" t="inlineStr"/>
      <c r="K27" s="36" t="inlineStr">
        <is>
          <t>Versioning should increment cleanly, e.g. _2 then _3, instead of repeatedly appending _1.</t>
        </is>
      </c>
    </row>
    <row r="28" ht="58" customHeight="1">
      <c r="A28" s="37" t="inlineStr">
        <is>
          <t>1.2.5</t>
        </is>
      </c>
      <c r="B28" s="37" t="inlineStr">
        <is>
          <t>Cancel Button</t>
        </is>
      </c>
      <c r="C28" s="38" t="inlineStr">
        <is>
          <t>As a test fixture user, I want to cancel the Existing Test Found workflow so that I can safely stop the current action without modifying any files or starting a test.</t>
        </is>
      </c>
      <c r="D28" s="37" t="inlineStr">
        <is>
          <t>must</t>
        </is>
      </c>
      <c r="E28" s="37" t="inlineStr">
        <is>
          <t>Not Started</t>
        </is>
      </c>
      <c r="F28" s="37" t="inlineStr">
        <is>
          <t>Existing Test Found</t>
        </is>
      </c>
      <c r="G28" s="38" t="inlineStr">
        <is>
          <t>Popup includes Cancel. Clicking closes popup, no test begins, and no files or folders are modified.</t>
        </is>
      </c>
      <c r="H28" s="37" t="inlineStr"/>
      <c r="I28" s="37" t="inlineStr"/>
      <c r="J28" s="37" t="inlineStr"/>
      <c r="K28" s="38" t="inlineStr"/>
    </row>
    <row r="29" ht="58" customHeight="1">
      <c r="A29" s="35" t="inlineStr">
        <is>
          <t>1.3.1</t>
        </is>
      </c>
      <c r="B29" s="35" t="inlineStr">
        <is>
          <t>Test Configuration Window</t>
        </is>
      </c>
      <c r="C29" s="36" t="inlineStr">
        <is>
          <t>As a test fixture user, I want the Test Configuration window to clearly display the test setup fields so that I can prepare and run a sensor test.</t>
        </is>
      </c>
      <c r="D29" s="35" t="inlineStr">
        <is>
          <t>must</t>
        </is>
      </c>
      <c r="E29" s="35" t="inlineStr">
        <is>
          <t>Not Started</t>
        </is>
      </c>
      <c r="F29" s="35" t="inlineStr">
        <is>
          <t>Test Configuration</t>
        </is>
      </c>
      <c r="G29" s="36" t="inlineStr">
        <is>
          <t>Clicking Verify Settings opens Test Configuration window/section with title “Test Configuration Window.”</t>
        </is>
      </c>
      <c r="H29" s="35" t="inlineStr"/>
      <c r="I29" s="35" t="inlineStr"/>
      <c r="J29" s="35" t="inlineStr"/>
      <c r="K29" s="36" t="inlineStr"/>
    </row>
    <row r="30" ht="58" customHeight="1">
      <c r="A30" s="37" t="inlineStr">
        <is>
          <t>1.3.2</t>
        </is>
      </c>
      <c r="B30" s="37" t="inlineStr">
        <is>
          <t>Test Type Drop Down</t>
        </is>
      </c>
      <c r="C30" s="38" t="inlineStr">
        <is>
          <t>As a test fixture user, I want to select the Test Type so that the correct testing workflow and analysis pipeline are used.</t>
        </is>
      </c>
      <c r="D30" s="37" t="inlineStr">
        <is>
          <t>must</t>
        </is>
      </c>
      <c r="E30" s="37" t="inlineStr">
        <is>
          <t>Not Started</t>
        </is>
      </c>
      <c r="F30" s="37" t="inlineStr">
        <is>
          <t>Test Configuration</t>
        </is>
      </c>
      <c r="G30" s="38" t="inlineStr">
        <is>
          <t>Test Type dropdown includes EM Test, Shear Test, Manual Test, and Cyclical Test. EM enables runs, COM port, and pause between runs. Shear disables runs, COM port, and pause. Manual disables runs and Run to Redo, keeps COM port. Cyclical disables runs and Run to Redo, keeps COM port, and shows cyclical controls.</t>
        </is>
      </c>
      <c r="H30" s="37" t="inlineStr"/>
      <c r="I30" s="37" t="inlineStr"/>
      <c r="J30" s="37" t="inlineStr"/>
      <c r="K30" s="38" t="inlineStr"/>
    </row>
    <row r="31" ht="58" customHeight="1">
      <c r="A31" s="35" t="inlineStr">
        <is>
          <t>1.3.3</t>
        </is>
      </c>
      <c r="B31" s="35" t="inlineStr">
        <is>
          <t>Number of Runs Integer Field</t>
        </is>
      </c>
      <c r="C31" s="36" t="inlineStr">
        <is>
          <t>As a test fixture user, I want to choose the number of runs so that repeated testing can be automated.</t>
        </is>
      </c>
      <c r="D31" s="35" t="inlineStr">
        <is>
          <t>must</t>
        </is>
      </c>
      <c r="E31" s="35" t="inlineStr">
        <is>
          <t>Not Started</t>
        </is>
      </c>
      <c r="F31" s="35" t="inlineStr">
        <is>
          <t>Test Configuration</t>
        </is>
      </c>
      <c r="G31" s="36" t="inlineStr">
        <is>
          <t>Number of Runs accepts only positive integers. Default number of runs is 3.</t>
        </is>
      </c>
      <c r="H31" s="35" t="inlineStr"/>
      <c r="I31" s="35" t="inlineStr"/>
      <c r="J31" s="35" t="inlineStr"/>
      <c r="K31" s="36" t="inlineStr"/>
    </row>
    <row r="32" ht="58" customHeight="1">
      <c r="A32" s="37" t="inlineStr">
        <is>
          <t>1.3.4</t>
        </is>
      </c>
      <c r="B32" s="37" t="inlineStr">
        <is>
          <t>Zaber COM Port Drop Down</t>
        </is>
      </c>
      <c r="C32" s="38" t="inlineStr">
        <is>
          <t>As a test fixture user, I want to define the Zaber COM Port so that the software can connect to the correct actuator.</t>
        </is>
      </c>
      <c r="D32" s="37" t="inlineStr">
        <is>
          <t>must</t>
        </is>
      </c>
      <c r="E32" s="37" t="inlineStr">
        <is>
          <t>Not Started</t>
        </is>
      </c>
      <c r="F32" s="37" t="inlineStr">
        <is>
          <t>Test Configuration</t>
        </is>
      </c>
      <c r="G32" s="38" t="inlineStr">
        <is>
          <t>User can enter or select a Zaber COM Port. Default is COM3. Selected COM Port is used during hardware initialization.</t>
        </is>
      </c>
      <c r="H32" s="37" t="inlineStr"/>
      <c r="I32" s="37" t="inlineStr"/>
      <c r="J32" s="37" t="inlineStr"/>
      <c r="K32" s="38" t="inlineStr"/>
    </row>
    <row r="33" ht="58" customHeight="1">
      <c r="A33" s="35" t="inlineStr">
        <is>
          <t>1.3.5</t>
        </is>
      </c>
      <c r="B33" s="35" t="inlineStr">
        <is>
          <t>Surface Area Integer Field</t>
        </is>
      </c>
      <c r="C33" s="36" t="inlineStr">
        <is>
          <t>As a test fixture user, I want to enter the Ecoflex block surface area so that pressure calculations are accurate.</t>
        </is>
      </c>
      <c r="D33" s="35" t="inlineStr">
        <is>
          <t>must</t>
        </is>
      </c>
      <c r="E33" s="35" t="inlineStr">
        <is>
          <t>Not Started</t>
        </is>
      </c>
      <c r="F33" s="35" t="inlineStr">
        <is>
          <t>Test Configuration</t>
        </is>
      </c>
      <c r="G33" s="36" t="inlineStr">
        <is>
          <t>Surface Area accepts positive numeric values. Default units display as mm2. Surface Area passes into analysis workflow.</t>
        </is>
      </c>
      <c r="H33" s="35" t="inlineStr"/>
      <c r="I33" s="35" t="inlineStr"/>
      <c r="J33" s="35" t="inlineStr"/>
      <c r="K33" s="36" t="inlineStr"/>
    </row>
    <row r="34" ht="58" customHeight="1">
      <c r="A34" s="37" t="inlineStr">
        <is>
          <t>1.3.6</t>
        </is>
      </c>
      <c r="B34" s="37" t="inlineStr">
        <is>
          <t>Run to Redo Integer Field</t>
        </is>
      </c>
      <c r="C34" s="38" t="inlineStr">
        <is>
          <t>As a test fixture user, I want to enter the specific run number I want to redo so that the system repeats only that selected run.</t>
        </is>
      </c>
      <c r="D34" s="37" t="inlineStr">
        <is>
          <t>must</t>
        </is>
      </c>
      <c r="E34" s="37" t="inlineStr">
        <is>
          <t>Not Started</t>
        </is>
      </c>
      <c r="F34" s="37" t="inlineStr">
        <is>
          <t>Test Configuration</t>
        </is>
      </c>
      <c r="G34" s="38" t="inlineStr">
        <is>
          <t>Run to Redo is disabled by default and enabled only from Existing Test Found redo workflow. Redo Mode locks EM Test and Number of Runs = 1. Run to Redo accepts a positive integer and repeats only that run.</t>
        </is>
      </c>
      <c r="H34" s="37" t="inlineStr"/>
      <c r="I34" s="37" t="inlineStr"/>
      <c r="J34" s="37" t="inlineStr"/>
      <c r="K34" s="38" t="inlineStr"/>
    </row>
    <row r="35" ht="58" customHeight="1">
      <c r="A35" s="35" t="inlineStr">
        <is>
          <t>1.3.7</t>
        </is>
      </c>
      <c r="B35" s="35" t="inlineStr">
        <is>
          <t>Begin Test Button</t>
        </is>
      </c>
      <c r="C35" s="36" t="inlineStr">
        <is>
          <t>As a test fixture user, I want to click Begin Test so that the specified test can begin using the selected configuration settings.</t>
        </is>
      </c>
      <c r="D35" s="35" t="inlineStr">
        <is>
          <t>must</t>
        </is>
      </c>
      <c r="E35" s="35" t="inlineStr">
        <is>
          <t>Not Started</t>
        </is>
      </c>
      <c r="F35" s="35" t="inlineStr">
        <is>
          <t>Test Configuration</t>
        </is>
      </c>
      <c r="G35" s="36" t="inlineStr">
        <is>
          <t>Begin Test opens the appropriate EM, Shear, Manual, or Cyclical Testing Window. It validates Test Type, Number of Runs for EM, COM Port for EM/Manual/Cyclical, Surface Area, and Run to Redo in Redo Mode. Hardware initialization occurs before movement.</t>
        </is>
      </c>
      <c r="H35" s="35" t="inlineStr"/>
      <c r="I35" s="35" t="inlineStr"/>
      <c r="J35" s="35" t="inlineStr"/>
      <c r="K35" s="36" t="inlineStr"/>
    </row>
    <row r="36" ht="58" customHeight="1">
      <c r="A36" s="37" t="inlineStr">
        <is>
          <t>1.3.8</t>
        </is>
      </c>
      <c r="B36" s="37" t="inlineStr">
        <is>
          <t>Open Calibration Button</t>
        </is>
      </c>
      <c r="C36" s="38" t="inlineStr">
        <is>
          <t>As a test fixture user, I want to open the Calibration Window so that I can perform the Fuji Film calibration before testing.</t>
        </is>
      </c>
      <c r="D36" s="37" t="inlineStr">
        <is>
          <t>must</t>
        </is>
      </c>
      <c r="E36" s="37" t="inlineStr">
        <is>
          <t>Not Started</t>
        </is>
      </c>
      <c r="F36" s="37" t="inlineStr">
        <is>
          <t>Test Configuration</t>
        </is>
      </c>
      <c r="G36" s="38" t="inlineStr">
        <is>
          <t>Open Calibration button opens the Calibration Window popup.</t>
        </is>
      </c>
      <c r="H36" s="37" t="inlineStr"/>
      <c r="I36" s="37" t="inlineStr"/>
      <c r="J36" s="37" t="inlineStr"/>
      <c r="K36" s="38" t="inlineStr"/>
    </row>
    <row r="37" ht="58" customHeight="1">
      <c r="A37" s="35" t="inlineStr">
        <is>
          <t>1.3.9</t>
        </is>
      </c>
      <c r="B37" s="35" t="inlineStr">
        <is>
          <t>Info Icons</t>
        </is>
      </c>
      <c r="C37" s="36" t="inlineStr">
        <is>
          <t>As a test fixture user, I want informational help icons throughout the window so that I can quickly understand fields, workflows, and testing terminology without needing external documentation.</t>
        </is>
      </c>
      <c r="D37" s="35" t="inlineStr">
        <is>
          <t>must</t>
        </is>
      </c>
      <c r="E37" s="35" t="inlineStr">
        <is>
          <t>Not Started</t>
        </is>
      </c>
      <c r="F37" s="35" t="inlineStr">
        <is>
          <t>Test Configuration</t>
        </is>
      </c>
      <c r="G37" s="36" t="inlineStr">
        <is>
          <t>Info icons appear beside important labels/controls. Hover shows concise tooltip and disappears on mouse away.</t>
        </is>
      </c>
      <c r="H37" s="35" t="inlineStr"/>
      <c r="I37" s="35" t="inlineStr"/>
      <c r="J37" s="35" t="inlineStr"/>
      <c r="K37" s="36" t="inlineStr"/>
    </row>
    <row r="38" ht="58" customHeight="1">
      <c r="A38" s="37" t="inlineStr">
        <is>
          <t>1.4.1</t>
        </is>
      </c>
      <c r="B38" s="37" t="inlineStr">
        <is>
          <t>Calibration Configuration Window</t>
        </is>
      </c>
      <c r="C38" s="38" t="inlineStr">
        <is>
          <t>As a test fixture user, I want a separate Calibration window so that I can safely perform the Fuji Film Test before beginning the specified test.</t>
        </is>
      </c>
      <c r="D38" s="37" t="inlineStr">
        <is>
          <t>must</t>
        </is>
      </c>
      <c r="E38" s="37" t="inlineStr">
        <is>
          <t>Not Started</t>
        </is>
      </c>
      <c r="F38" s="37" t="inlineStr">
        <is>
          <t>Calibration</t>
        </is>
      </c>
      <c r="G38" s="38" t="inlineStr">
        <is>
          <t>Open Calibration opens popup titled “Calibration for Fuji Film Test.”</t>
        </is>
      </c>
      <c r="H38" s="37" t="inlineStr"/>
      <c r="I38" s="37" t="inlineStr"/>
      <c r="J38" s="37" t="inlineStr"/>
      <c r="K38" s="38" t="inlineStr"/>
    </row>
    <row r="39" ht="58" customHeight="1">
      <c r="A39" s="35" t="inlineStr">
        <is>
          <t>1.4.2</t>
        </is>
      </c>
      <c r="B39" s="35" t="inlineStr">
        <is>
          <t>Current Status Display</t>
        </is>
      </c>
      <c r="C39" s="36" t="inlineStr">
        <is>
          <t>As a test fixture user, I want to see the current actuator position during calibration so that I can safely adjust the actuator location.</t>
        </is>
      </c>
      <c r="D39" s="35" t="inlineStr">
        <is>
          <t>must</t>
        </is>
      </c>
      <c r="E39" s="35" t="inlineStr">
        <is>
          <t>Not Started</t>
        </is>
      </c>
      <c r="F39" s="35" t="inlineStr">
        <is>
          <t>Calibration</t>
        </is>
      </c>
      <c r="G39" s="36" t="inlineStr">
        <is>
          <t>Current Status displays Position only in mm. Position updates when user clicks Move Up, Move Down, or Home.</t>
        </is>
      </c>
      <c r="H39" s="35" t="inlineStr"/>
      <c r="I39" s="35" t="inlineStr"/>
      <c r="J39" s="35" t="inlineStr"/>
      <c r="K39" s="36" t="inlineStr"/>
    </row>
    <row r="40" ht="58" customHeight="1">
      <c r="A40" s="37" t="inlineStr">
        <is>
          <t>1.4.3</t>
        </is>
      </c>
      <c r="B40" s="37" t="inlineStr">
        <is>
          <t>Manual Increment Control</t>
        </is>
      </c>
      <c r="C40" s="38" t="inlineStr">
        <is>
          <t>As a test fixture user, I want to move the actuator in small increments so that I can fine-tune the actuator position safely.</t>
        </is>
      </c>
      <c r="D40" s="37" t="inlineStr">
        <is>
          <t>must</t>
        </is>
      </c>
      <c r="E40" s="37" t="inlineStr">
        <is>
          <t>Not Started</t>
        </is>
      </c>
      <c r="F40" s="37" t="inlineStr">
        <is>
          <t>Calibration</t>
        </is>
      </c>
      <c r="G40" s="38" t="inlineStr">
        <is>
          <t>User can enter Increment Distance, then click Move Up or Move Down. Movement updates position step-by-step with no elapsed-time output. Blank, out-of-range, or nonnumeric values are blocked with clear messages.</t>
        </is>
      </c>
      <c r="H40" s="37" t="inlineStr"/>
      <c r="I40" s="37" t="inlineStr"/>
      <c r="J40" s="37" t="inlineStr"/>
      <c r="K40" s="38" t="inlineStr"/>
    </row>
    <row r="41" ht="58" customHeight="1">
      <c r="A41" s="35" t="inlineStr">
        <is>
          <t>1.4.4</t>
        </is>
      </c>
      <c r="B41" s="35" t="inlineStr">
        <is>
          <t>Reset to Home Button</t>
        </is>
      </c>
      <c r="C41" s="36" t="inlineStr">
        <is>
          <t>As a test fixture user, I want a Home button so that I can safely return the actuator to its original position.</t>
        </is>
      </c>
      <c r="D41" s="35" t="inlineStr">
        <is>
          <t>must</t>
        </is>
      </c>
      <c r="E41" s="35" t="inlineStr">
        <is>
          <t>Not Started</t>
        </is>
      </c>
      <c r="F41" s="35" t="inlineStr">
        <is>
          <t>Calibration</t>
        </is>
      </c>
      <c r="G41" s="36" t="inlineStr">
        <is>
          <t>Clicking Home returns actuator to home/original position and displays that actuator reset successfully.</t>
        </is>
      </c>
      <c r="H41" s="35" t="inlineStr"/>
      <c r="I41" s="35" t="inlineStr"/>
      <c r="J41" s="35" t="inlineStr"/>
      <c r="K41" s="36" t="inlineStr"/>
    </row>
    <row r="42" ht="58" customHeight="1">
      <c r="A42" s="37" t="inlineStr">
        <is>
          <t>1.4.5</t>
        </is>
      </c>
      <c r="B42" s="37" t="inlineStr">
        <is>
          <t>Fuji Film Test Button</t>
        </is>
      </c>
      <c r="C42" s="38" t="inlineStr">
        <is>
          <t>As a test fixture user, I want to run a Fuji Film Test so that I can calibrate the load cell and actuator setup.</t>
        </is>
      </c>
      <c r="D42" s="37" t="inlineStr">
        <is>
          <t>must</t>
        </is>
      </c>
      <c r="E42" s="37" t="inlineStr">
        <is>
          <t>Not Started</t>
        </is>
      </c>
      <c r="F42" s="37" t="inlineStr">
        <is>
          <t>Calibration</t>
        </is>
      </c>
      <c r="G42" s="38" t="inlineStr">
        <is>
          <t>Begin Fuji Film Test moves actuator downward until target force is reached. Target Force = 20 N. Motion stops at target force.</t>
        </is>
      </c>
      <c r="H42" s="37" t="inlineStr"/>
      <c r="I42" s="37" t="inlineStr"/>
      <c r="J42" s="37" t="inlineStr"/>
      <c r="K42" s="38" t="inlineStr"/>
    </row>
    <row r="43" ht="58" customHeight="1">
      <c r="A43" s="35" t="inlineStr">
        <is>
          <t>1.4.6</t>
        </is>
      </c>
      <c r="B43" s="35" t="inlineStr">
        <is>
          <t>Fuji Film Test Output Box</t>
        </is>
      </c>
      <c r="C43" s="36" t="inlineStr">
        <is>
          <t>As a test fixture user, I want Fuji Film Test force readings displayed in a table-like format so that I can clearly track force over time during calibration.</t>
        </is>
      </c>
      <c r="D43" s="35" t="inlineStr">
        <is>
          <t>must</t>
        </is>
      </c>
      <c r="E43" s="35" t="inlineStr">
        <is>
          <t>Not Started</t>
        </is>
      </c>
      <c r="F43" s="35" t="inlineStr">
        <is>
          <t>Calibration</t>
        </is>
      </c>
      <c r="G43" s="36" t="inlineStr">
        <is>
          <t>Output box displays “Fuji Film Test started.” Includes headers Time (s) | Force (N). While running, values display over time. Success message appears when target reached; error status appears for spike/error.</t>
        </is>
      </c>
      <c r="H43" s="35" t="inlineStr"/>
      <c r="I43" s="35" t="inlineStr"/>
      <c r="J43" s="35" t="inlineStr"/>
      <c r="K43" s="36" t="inlineStr"/>
    </row>
    <row r="44" ht="58" customHeight="1">
      <c r="A44" s="37" t="inlineStr">
        <is>
          <t>1.4.7</t>
        </is>
      </c>
      <c r="B44" s="37" t="inlineStr">
        <is>
          <t>Exit Button</t>
        </is>
      </c>
      <c r="C44" s="38" t="inlineStr">
        <is>
          <t>As a test fixture user, I want an Exit button on the Calibration popup window so that I can close the Calibration Window.</t>
        </is>
      </c>
      <c r="D44" s="37" t="inlineStr">
        <is>
          <t>must</t>
        </is>
      </c>
      <c r="E44" s="37" t="inlineStr">
        <is>
          <t>Not Started</t>
        </is>
      </c>
      <c r="F44" s="37" t="inlineStr">
        <is>
          <t>Calibration</t>
        </is>
      </c>
      <c r="G44" s="38" t="inlineStr">
        <is>
          <t>Exit closes only Calibration popup. Exit is disabled while Fuji Film Test is running and re-enabled after complete or stopped.</t>
        </is>
      </c>
      <c r="H44" s="37" t="inlineStr"/>
      <c r="I44" s="37" t="inlineStr"/>
      <c r="J44" s="37" t="inlineStr"/>
      <c r="K44" s="38" t="inlineStr"/>
    </row>
    <row r="45" ht="58" customHeight="1">
      <c r="A45" s="35" t="inlineStr">
        <is>
          <t>1.5.1</t>
        </is>
      </c>
      <c r="B45" s="35" t="inlineStr">
        <is>
          <t>EM Testing Window</t>
        </is>
      </c>
      <c r="C45" s="36" t="inlineStr">
        <is>
          <t>As a test fixture user, I want the EM test to open in a dedicated EM Testing Window so that I can monitor and control the active EM test.</t>
        </is>
      </c>
      <c r="D45" s="35" t="inlineStr">
        <is>
          <t>must</t>
        </is>
      </c>
      <c r="E45" s="35" t="inlineStr">
        <is>
          <t>Not Started</t>
        </is>
      </c>
      <c r="F45" s="35" t="inlineStr">
        <is>
          <t>EM Test</t>
        </is>
      </c>
      <c r="G45" s="36" t="inlineStr">
        <is>
          <t>Clicking Begin Test with Test Type = EM Test opens a new window titled “EM Testing Window.”</t>
        </is>
      </c>
      <c r="H45" s="35" t="inlineStr"/>
      <c r="I45" s="35" t="inlineStr"/>
      <c r="J45" s="35" t="inlineStr"/>
      <c r="K45" s="36" t="inlineStr"/>
    </row>
    <row r="46" ht="58" customHeight="1">
      <c r="A46" s="37" t="inlineStr">
        <is>
          <t>1.5.2</t>
        </is>
      </c>
      <c r="B46" s="37" t="inlineStr">
        <is>
          <t>Current EM Test Output Box</t>
        </is>
      </c>
      <c r="C46" s="38" t="inlineStr">
        <is>
          <t>As a test fixture user, I want to view the current EM test status so that I can monitor the actuator and testing workflow in real time.</t>
        </is>
      </c>
      <c r="D46" s="37" t="inlineStr">
        <is>
          <t>must</t>
        </is>
      </c>
      <c r="E46" s="37" t="inlineStr">
        <is>
          <t>Not Started</t>
        </is>
      </c>
      <c r="F46" s="37" t="inlineStr">
        <is>
          <t>EM Test</t>
        </is>
      </c>
      <c r="G46" s="38" t="inlineStr">
        <is>
          <t>EM Testing Window includes Current EM Test Status. Headers: Run Number | Time (s) | Force (N). States include IDLE, READY, CONNECTING, RUNNING, PAUSED_RESET_REQUIRED, BETWEEN_RUNS_PAUSED, COMPLETED, ERROR.</t>
        </is>
      </c>
      <c r="H46" s="37" t="inlineStr"/>
      <c r="I46" s="37" t="inlineStr"/>
      <c r="J46" s="37" t="inlineStr"/>
      <c r="K46" s="38" t="inlineStr"/>
    </row>
    <row r="47" ht="58" customHeight="1">
      <c r="A47" s="35" t="inlineStr">
        <is>
          <t>1.5.3</t>
        </is>
      </c>
      <c r="B47" s="35" t="inlineStr">
        <is>
          <t>Start Button</t>
        </is>
      </c>
      <c r="C47" s="36" t="inlineStr">
        <is>
          <t>As a test fixture user, I want to click START so that the EM test begins using the selected configuration settings.</t>
        </is>
      </c>
      <c r="D47" s="35" t="inlineStr">
        <is>
          <t>must</t>
        </is>
      </c>
      <c r="E47" s="35" t="inlineStr">
        <is>
          <t>Not Started</t>
        </is>
      </c>
      <c r="F47" s="35" t="inlineStr">
        <is>
          <t>EM Test</t>
        </is>
      </c>
      <c r="G47" s="36" t="inlineStr">
        <is>
          <t>START begins EM workflow. System attempts hardware initialization before movement. Actuator does not move unless initialization succeeds. START becomes disabled once testing begins.</t>
        </is>
      </c>
      <c r="H47" s="35" t="inlineStr"/>
      <c r="I47" s="35" t="inlineStr"/>
      <c r="J47" s="35" t="inlineStr"/>
      <c r="K47" s="36" t="inlineStr"/>
    </row>
    <row r="48" ht="58" customHeight="1">
      <c r="A48" s="37" t="inlineStr">
        <is>
          <t>1.5.4</t>
        </is>
      </c>
      <c r="B48" s="37" t="inlineStr">
        <is>
          <t>Pause Button</t>
        </is>
      </c>
      <c r="C48" s="38" t="inlineStr">
        <is>
          <t>As a test fixture user, I want to pause the current EM test safely so that actuator motion stops and the current run can be repeated.</t>
        </is>
      </c>
      <c r="D48" s="37" t="inlineStr">
        <is>
          <t>must</t>
        </is>
      </c>
      <c r="E48" s="37" t="inlineStr">
        <is>
          <t>Not Started</t>
        </is>
      </c>
      <c r="F48" s="37" t="inlineStr">
        <is>
          <t>EM Test</t>
        </is>
      </c>
      <c r="G48" s="38" t="inlineStr">
        <is>
          <t>Pause immediately stops motion, returns actuator home, marks current run incomplete, does not increment current run number, and requires current run to repeat.</t>
        </is>
      </c>
      <c r="H48" s="37" t="inlineStr"/>
      <c r="I48" s="37" t="inlineStr"/>
      <c r="J48" s="37" t="inlineStr"/>
      <c r="K48" s="38" t="inlineStr"/>
    </row>
    <row r="49" ht="58" customHeight="1">
      <c r="A49" s="35" t="inlineStr">
        <is>
          <t>1.5.5</t>
        </is>
      </c>
      <c r="B49" s="35" t="inlineStr">
        <is>
          <t>Live Force vs Time Graph</t>
        </is>
      </c>
      <c r="C49" s="36" t="inlineStr">
        <is>
          <t>As a test fixture user, I want to view a live Force vs Time graph so that I can visually monitor force trends during the EM test.</t>
        </is>
      </c>
      <c r="D49" s="35" t="inlineStr">
        <is>
          <t>must</t>
        </is>
      </c>
      <c r="E49" s="35" t="inlineStr">
        <is>
          <t>Not Started</t>
        </is>
      </c>
      <c r="F49" s="35" t="inlineStr">
        <is>
          <t>EM Test</t>
        </is>
      </c>
      <c r="G49" s="36" t="inlineStr">
        <is>
          <t>Graph updates in real time while EM is running, displays force in N over time in seconds, and resets appropriately between runs.</t>
        </is>
      </c>
      <c r="H49" s="35" t="inlineStr"/>
      <c r="I49" s="35" t="inlineStr"/>
      <c r="J49" s="35" t="inlineStr"/>
      <c r="K49" s="36" t="inlineStr"/>
    </row>
    <row r="50" ht="58" customHeight="1">
      <c r="A50" s="37" t="inlineStr">
        <is>
          <t>1.5.6</t>
        </is>
      </c>
      <c r="B50" s="37" t="inlineStr">
        <is>
          <t>Perform Analysis Button</t>
        </is>
      </c>
      <c r="C50" s="38" t="inlineStr">
        <is>
          <t>As a test fixture user, I want to click a Perform Analysis button so that the software can process the completed test data and generate summary statistics and plots.</t>
        </is>
      </c>
      <c r="D50" s="37" t="inlineStr">
        <is>
          <t>must</t>
        </is>
      </c>
      <c r="E50" s="37" t="inlineStr">
        <is>
          <t>Not Started</t>
        </is>
      </c>
      <c r="F50" s="37" t="inlineStr">
        <is>
          <t>EM Test</t>
        </is>
      </c>
      <c r="G50" s="38" t="inlineStr">
        <is>
          <t>Perform Analysis is disabled until EM test completes successfully. Clicking shows loading/progress before opening EM Analysis Page.</t>
        </is>
      </c>
      <c r="H50" s="37" t="inlineStr"/>
      <c r="I50" s="37" t="inlineStr"/>
      <c r="J50" s="37" t="inlineStr"/>
      <c r="K50" s="38" t="inlineStr"/>
    </row>
    <row r="51" ht="58" customHeight="1">
      <c r="A51" s="35" t="inlineStr">
        <is>
          <t>1.6.1</t>
        </is>
      </c>
      <c r="B51" s="35" t="inlineStr">
        <is>
          <t>EM Analysis Window</t>
        </is>
      </c>
      <c r="C51" s="36" t="inlineStr">
        <is>
          <t>As a test fixture user, I want analysis results to open in a dedicated results window so that I can review processed EM test results after testing completes.</t>
        </is>
      </c>
      <c r="D51" s="35" t="inlineStr">
        <is>
          <t>must</t>
        </is>
      </c>
      <c r="E51" s="35" t="inlineStr">
        <is>
          <t>Not Started</t>
        </is>
      </c>
      <c r="F51" s="35" t="inlineStr">
        <is>
          <t>EM Analysis</t>
        </is>
      </c>
      <c r="G51" s="36" t="inlineStr">
        <is>
          <t>After analysis completes, window opens titled “EM Analysis Data and Plots.” It displays plots/tables and supports tab navigation.</t>
        </is>
      </c>
      <c r="H51" s="35" t="inlineStr"/>
      <c r="I51" s="35" t="inlineStr"/>
      <c r="J51" s="35" t="inlineStr"/>
      <c r="K51" s="36" t="inlineStr"/>
    </row>
    <row r="52" ht="58" customHeight="1">
      <c r="A52" s="37" t="inlineStr">
        <is>
          <t>1.6.2</t>
        </is>
      </c>
      <c r="B52" s="37" t="inlineStr">
        <is>
          <t>Raw Signals Tab</t>
        </is>
      </c>
      <c r="C52" s="38" t="inlineStr">
        <is>
          <t>As a test fixture user, I want to view raw EM test signals so that I can inspect channel behavior before processed analysis is applied.</t>
        </is>
      </c>
      <c r="D52" s="37" t="inlineStr">
        <is>
          <t>must</t>
        </is>
      </c>
      <c r="E52" s="37" t="inlineStr">
        <is>
          <t>Not Started</t>
        </is>
      </c>
      <c r="F52" s="37" t="inlineStr">
        <is>
          <t>EM Analysis</t>
        </is>
      </c>
      <c r="G52" s="38" t="inlineStr">
        <is>
          <t>Raw Signals tab displays raw channel plots for selected run, all EM channels simultaneously, and allows switching between runs.</t>
        </is>
      </c>
      <c r="H52" s="37" t="inlineStr"/>
      <c r="I52" s="37" t="inlineStr"/>
      <c r="J52" s="37" t="inlineStr"/>
      <c r="K52" s="38" t="inlineStr"/>
    </row>
    <row r="53" ht="58" customHeight="1">
      <c r="A53" s="35" t="inlineStr">
        <is>
          <t>1.6.3</t>
        </is>
      </c>
      <c r="B53" s="35" t="inlineStr">
        <is>
          <t>Pressure Sensitivity Curves Tab</t>
        </is>
      </c>
      <c r="C53" s="36" t="inlineStr">
        <is>
          <t>As a test fixture user, I want to view pressure sensitivity curves so that I can evaluate how capacitance changes relative to pressure.</t>
        </is>
      </c>
      <c r="D53" s="35" t="inlineStr">
        <is>
          <t>must</t>
        </is>
      </c>
      <c r="E53" s="35" t="inlineStr">
        <is>
          <t>Not Started</t>
        </is>
      </c>
      <c r="F53" s="35" t="inlineStr">
        <is>
          <t>EM Analysis</t>
        </is>
      </c>
      <c r="G53" s="36" t="inlineStr">
        <is>
          <t>Pressure Sensitivity Curves tab displays processed pressure sensitivity plots for all channels, calculated pressure sensitivity values, and visually highlighted inflection points.</t>
        </is>
      </c>
      <c r="H53" s="35" t="inlineStr"/>
      <c r="I53" s="35" t="inlineStr"/>
      <c r="J53" s="35" t="inlineStr"/>
      <c r="K53" s="36" t="inlineStr"/>
    </row>
    <row r="54" ht="58" customHeight="1">
      <c r="A54" s="37" t="inlineStr">
        <is>
          <t>1.6.4</t>
        </is>
      </c>
      <c r="B54" s="37" t="inlineStr">
        <is>
          <t>All Channels / Runs Comparison Tab</t>
        </is>
      </c>
      <c r="C54" s="38" t="inlineStr">
        <is>
          <t>As a test fixture user, I want to compare all runs and channels simultaneously so that I can evaluate consistency and repeatability across the sensor.</t>
        </is>
      </c>
      <c r="D54" s="37" t="inlineStr">
        <is>
          <t>must</t>
        </is>
      </c>
      <c r="E54" s="37" t="inlineStr">
        <is>
          <t>Not Started</t>
        </is>
      </c>
      <c r="F54" s="37" t="inlineStr">
        <is>
          <t>EM Analysis</t>
        </is>
      </c>
      <c r="G54" s="38" t="inlineStr">
        <is>
          <t>All CH/Runs tab includes By Channel (all runs) and By Run (all channels). Each plot overlays multiple runs for direct comparison.</t>
        </is>
      </c>
      <c r="H54" s="37" t="inlineStr"/>
      <c r="I54" s="37" t="inlineStr"/>
      <c r="J54" s="37" t="inlineStr"/>
      <c r="K54" s="38" t="inlineStr"/>
    </row>
    <row r="55" ht="58" customHeight="1">
      <c r="A55" s="35" t="inlineStr">
        <is>
          <t>1.6.5</t>
        </is>
      </c>
      <c r="B55" s="35" t="inlineStr">
        <is>
          <t>Summary Statistics Tab</t>
        </is>
      </c>
      <c r="C55" s="36" t="inlineStr">
        <is>
          <t>As a test fixture user, I want to view summary statistics for all EM channels so that I can evaluate sensor quality quantitatively.</t>
        </is>
      </c>
      <c r="D55" s="35" t="inlineStr">
        <is>
          <t>must</t>
        </is>
      </c>
      <c r="E55" s="35" t="inlineStr">
        <is>
          <t>Not Started</t>
        </is>
      </c>
      <c r="F55" s="35" t="inlineStr">
        <is>
          <t>EM Analysis</t>
        </is>
      </c>
      <c r="G55" s="36" t="inlineStr">
        <is>
          <t>Summary Statistics table includes all channels and metrics Mean, Std, COV, Min, Max for PS at Inflection, Max kPa, and Mean Max CAP. Averages include standard deviation; maximum metrics include minimum values.</t>
        </is>
      </c>
      <c r="H55" s="35" t="inlineStr"/>
      <c r="I55" s="35" t="inlineStr"/>
      <c r="J55" s="35" t="inlineStr"/>
      <c r="K55" s="36" t="inlineStr"/>
    </row>
    <row r="56" ht="58" customHeight="1">
      <c r="A56" s="37" t="inlineStr">
        <is>
          <t>1.6.6</t>
        </is>
      </c>
      <c r="B56" s="37" t="inlineStr">
        <is>
          <t>Report Output Tab</t>
        </is>
      </c>
      <c r="C56" s="38" t="inlineStr">
        <is>
          <t>As a test fixture user, I want a report-style output tab so that I can easily copy, export, and review finalized EM testing results.</t>
        </is>
      </c>
      <c r="D56" s="37" t="inlineStr">
        <is>
          <t>must</t>
        </is>
      </c>
      <c r="E56" s="37" t="inlineStr">
        <is>
          <t>Not Started</t>
        </is>
      </c>
      <c r="F56" s="37" t="inlineStr">
        <is>
          <t>EM Analysis</t>
        </is>
      </c>
      <c r="G56" s="38" t="inlineStr">
        <is>
          <t>Report Output includes Sensor ID, standards status, version, date, fabrication type, Eco Block ID, run tested/counted, and shorted channel status. Copy Values copies only the data row.</t>
        </is>
      </c>
      <c r="H56" s="37" t="inlineStr"/>
      <c r="I56" s="37" t="inlineStr"/>
      <c r="J56" s="37" t="inlineStr"/>
      <c r="K56" s="38" t="inlineStr"/>
    </row>
    <row r="57" ht="58" customHeight="1">
      <c r="A57" s="35" t="inlineStr">
        <is>
          <t>1.7.1</t>
        </is>
      </c>
      <c r="B57" s="35" t="inlineStr">
        <is>
          <t>Shear Testing Window</t>
        </is>
      </c>
      <c r="C57" s="36" t="inlineStr">
        <is>
          <t>As a test fixture user, I want the Shear Test to open in a dedicated Shear Testing Window so that I can monitor and control the active Shear test.</t>
        </is>
      </c>
      <c r="D57" s="35" t="inlineStr">
        <is>
          <t>must</t>
        </is>
      </c>
      <c r="E57" s="35" t="inlineStr">
        <is>
          <t>Not Started</t>
        </is>
      </c>
      <c r="F57" s="35" t="inlineStr">
        <is>
          <t>Shear Test</t>
        </is>
      </c>
      <c r="G57" s="36" t="inlineStr">
        <is>
          <t>Clicking Begin Test with Test Type = Shear Test opens “Shear Testing Window.”</t>
        </is>
      </c>
      <c r="H57" s="35" t="inlineStr"/>
      <c r="I57" s="35" t="inlineStr"/>
      <c r="J57" s="35" t="inlineStr"/>
      <c r="K57" s="36" t="inlineStr"/>
    </row>
    <row r="58" ht="58" customHeight="1">
      <c r="A58" s="37" t="inlineStr">
        <is>
          <t>1.7.2</t>
        </is>
      </c>
      <c r="B58" s="37" t="inlineStr">
        <is>
          <t>Live Shear Graph Display</t>
        </is>
      </c>
      <c r="C58" s="38" t="inlineStr">
        <is>
          <t>As a test fixture user, I want to view the live Shear graph so that I can monitor force behavior in real time during testing.</t>
        </is>
      </c>
      <c r="D58" s="37" t="inlineStr">
        <is>
          <t>must</t>
        </is>
      </c>
      <c r="E58" s="37" t="inlineStr">
        <is>
          <t>Not Started</t>
        </is>
      </c>
      <c r="F58" s="37" t="inlineStr">
        <is>
          <t>Shear Test</t>
        </is>
      </c>
      <c r="G58" s="38" t="inlineStr">
        <is>
          <t>Graph X-axis is Time Elapsed (seconds), Y-axis Force (N), updates in real time, displays live load cell force, and hover shows time and force.</t>
        </is>
      </c>
      <c r="H58" s="37" t="inlineStr"/>
      <c r="I58" s="37" t="inlineStr"/>
      <c r="J58" s="37" t="inlineStr"/>
      <c r="K58" s="38" t="inlineStr"/>
    </row>
    <row r="59" ht="58" customHeight="1">
      <c r="A59" s="35" t="inlineStr">
        <is>
          <t>1.7.3</t>
        </is>
      </c>
      <c r="B59" s="35" t="inlineStr">
        <is>
          <t>Graph Display Controls</t>
        </is>
      </c>
      <c r="C59" s="36" t="inlineStr">
        <is>
          <t>As a test fixture user, I want to control the graph display settings so that I can customize how the Shear test data is visualized.</t>
        </is>
      </c>
      <c r="D59" s="35" t="inlineStr">
        <is>
          <t>must</t>
        </is>
      </c>
      <c r="E59" s="35" t="inlineStr">
        <is>
          <t>Not Started</t>
        </is>
      </c>
      <c r="F59" s="35" t="inlineStr">
        <is>
          <t>Shear Test</t>
        </is>
      </c>
      <c r="G59" s="36" t="inlineStr">
        <is>
          <t>User can edit Last Seconds to Display, Y-Axis Min, Y-Axis Limit; toggle Show Markers and Cumulative Time; changes update graph display.</t>
        </is>
      </c>
      <c r="H59" s="35" t="inlineStr"/>
      <c r="I59" s="35" t="inlineStr"/>
      <c r="J59" s="35" t="inlineStr"/>
      <c r="K59" s="36" t="inlineStr"/>
    </row>
    <row r="60" ht="58" customHeight="1">
      <c r="A60" s="37" t="inlineStr">
        <is>
          <t>1.7.4</t>
        </is>
      </c>
      <c r="B60" s="37" t="inlineStr">
        <is>
          <t>Start Button</t>
        </is>
      </c>
      <c r="C60" s="38" t="inlineStr">
        <is>
          <t>As a test fixture user, I want to click START so that the live Shear test begins.</t>
        </is>
      </c>
      <c r="D60" s="37" t="inlineStr">
        <is>
          <t>must</t>
        </is>
      </c>
      <c r="E60" s="37" t="inlineStr">
        <is>
          <t>Not Started</t>
        </is>
      </c>
      <c r="F60" s="37" t="inlineStr">
        <is>
          <t>Shear Test</t>
        </is>
      </c>
      <c r="G60" s="38" t="inlineStr">
        <is>
          <t>START begins Shear workflow and graph updates. START disables while running and while actuator is returning home. Start after paused/incomplete run begins a new active dataset.</t>
        </is>
      </c>
      <c r="H60" s="37" t="inlineStr"/>
      <c r="I60" s="37" t="inlineStr"/>
      <c r="J60" s="37" t="inlineStr"/>
      <c r="K60" s="38" t="inlineStr"/>
    </row>
    <row r="61" ht="58" customHeight="1">
      <c r="A61" s="35" t="inlineStr">
        <is>
          <t>1.7.5</t>
        </is>
      </c>
      <c r="B61" s="36" t="inlineStr">
        <is>
          <t>Stop Button</t>
        </is>
      </c>
      <c r="C61" s="36" t="inlineStr">
        <is>
          <t>As a test fixture user, I want to stop the Shear test so that I can stop live graph updates while preserving the latest load-cell data for analysis.</t>
        </is>
      </c>
      <c r="D61" s="35" t="inlineStr">
        <is>
          <t>must</t>
        </is>
      </c>
      <c r="E61" s="35" t="inlineStr">
        <is>
          <t>Not Started</t>
        </is>
      </c>
      <c r="F61" s="35" t="inlineStr">
        <is>
          <t>Shear Test</t>
        </is>
      </c>
      <c r="G61" s="36" t="inlineStr">
        <is>
          <t>The Shear Testing Window includes a button labeled “Stop.” Clicking Stop immediately stops the active Shear graph workflow. Shear Test does not use the Zaber actuator, so there is no actuator return-home simulation, no RETURNING_HOME state, and no 5-second lockout. After Stop is clicked, Start becomes enabled again, Perform Analysis remains enabled if valid shear data exists, and the latest stopped dataset is available for analysis.</t>
        </is>
      </c>
      <c r="H61" s="35" t="inlineStr"/>
      <c r="I61" s="35" t="inlineStr"/>
      <c r="J61" s="35" t="inlineStr"/>
      <c r="K61" s="36" t="inlineStr">
        <is>
          <t>Updated because Shear uses a bottom load cell and manual top movement; no Zaber actuator pause/return-home behavior is needed.</t>
        </is>
      </c>
    </row>
    <row r="62" ht="58" customHeight="1">
      <c r="A62" s="37" t="inlineStr">
        <is>
          <t>1.7.6</t>
        </is>
      </c>
      <c r="B62" s="38" t="inlineStr">
        <is>
          <t>Perform Analysis Button</t>
        </is>
      </c>
      <c r="C62" s="38" t="inlineStr">
        <is>
          <t>As a test fixture user, I want to click Perform Analysis after test data has been collected so that the software can process the latest available Shear test data and generate summary statistics and plots.</t>
        </is>
      </c>
      <c r="D62" s="37" t="inlineStr">
        <is>
          <t>must</t>
        </is>
      </c>
      <c r="E62" s="37" t="inlineStr">
        <is>
          <t>Not Started</t>
        </is>
      </c>
      <c r="F62" s="37" t="inlineStr">
        <is>
          <t>Shear Test</t>
        </is>
      </c>
      <c r="G62" s="38" t="inlineStr">
        <is>
          <t>Perform Analysis enables after Start has been clicked and valid shear data exists. Clicking Perform Analysis stops live plotting, sends the latest shear readings to the backend, shows a loading state, creates/saves the Shear FUT/CAP and analysis output files, and opens the Shear Analysis Page. If the user stops and restarts, analysis uses the newest/latest valid dataset.</t>
        </is>
      </c>
      <c r="H62" s="37" t="inlineStr"/>
      <c r="I62" s="37" t="inlineStr"/>
      <c r="J62" s="37" t="inlineStr"/>
      <c r="K62" s="38" t="inlineStr"/>
    </row>
    <row r="63" ht="58" customHeight="1">
      <c r="A63" s="35" t="inlineStr">
        <is>
          <t>1.7.7</t>
        </is>
      </c>
      <c r="B63" s="35" t="inlineStr">
        <is>
          <t>Info Icons</t>
        </is>
      </c>
      <c r="C63" s="36" t="inlineStr">
        <is>
          <t>As a test fixture user, I want informational help icons throughout the window so that I can quickly understand fields, workflows, and testing terminology without needing external documentation.</t>
        </is>
      </c>
      <c r="D63" s="35" t="inlineStr">
        <is>
          <t>must</t>
        </is>
      </c>
      <c r="E63" s="35" t="inlineStr">
        <is>
          <t>Not Started</t>
        </is>
      </c>
      <c r="F63" s="35" t="inlineStr">
        <is>
          <t>Shear Test</t>
        </is>
      </c>
      <c r="G63" s="36" t="inlineStr">
        <is>
          <t>Info icons appear beside important labels/controls. Hover shows concise tooltip and disappears on mouse away.</t>
        </is>
      </c>
      <c r="H63" s="35" t="inlineStr"/>
      <c r="I63" s="35" t="inlineStr"/>
      <c r="J63" s="35" t="inlineStr"/>
      <c r="K63" s="36" t="inlineStr"/>
    </row>
    <row r="64" ht="58" customHeight="1">
      <c r="A64" s="37" t="inlineStr">
        <is>
          <t>1.8.1</t>
        </is>
      </c>
      <c r="B64" s="38" t="inlineStr">
        <is>
          <t>Shear Analysis Window</t>
        </is>
      </c>
      <c r="C64" s="38" t="inlineStr">
        <is>
          <t>As a test fixture user, I want analysis results to open in a dedicated results window so that I can review processed Shear Test results after testing completes.</t>
        </is>
      </c>
      <c r="D64" s="37" t="inlineStr">
        <is>
          <t>must</t>
        </is>
      </c>
      <c r="E64" s="37" t="inlineStr">
        <is>
          <t>Not Started</t>
        </is>
      </c>
      <c r="F64" s="37" t="inlineStr">
        <is>
          <t>Shear Analysis</t>
        </is>
      </c>
      <c r="G64" s="38" t="inlineStr">
        <is>
          <t>After analysis completes, “Shear Analysis Data and Plots” opens with tabs: Plots, Failure Checks, Report Output. The Perform Analysis workflow saves Shear output files in the selected test folder, including FUT/CAP preview data and generated analysis outputs.</t>
        </is>
      </c>
      <c r="H64" s="37" t="inlineStr"/>
      <c r="I64" s="37" t="inlineStr"/>
      <c r="J64" s="37" t="inlineStr"/>
      <c r="K64" s="38" t="inlineStr"/>
    </row>
    <row r="65" ht="58" customHeight="1">
      <c r="A65" s="35" t="inlineStr">
        <is>
          <t>1.8.2</t>
        </is>
      </c>
      <c r="B65" s="35" t="inlineStr">
        <is>
          <t>Plot Tab</t>
        </is>
      </c>
      <c r="C65" s="36" t="inlineStr">
        <is>
          <t>As a test fixture user, after clicking perform analysis on a shear test I want to be able to view a plot summary of the Shear test.</t>
        </is>
      </c>
      <c r="D65" s="35" t="inlineStr">
        <is>
          <t>must</t>
        </is>
      </c>
      <c r="E65" s="35" t="inlineStr">
        <is>
          <t>Not Started</t>
        </is>
      </c>
      <c r="F65" s="35" t="inlineStr">
        <is>
          <t>Shear Analysis</t>
        </is>
      </c>
      <c r="G65" s="36" t="inlineStr">
        <is>
          <t>Plot tab displays graph for each capacitance channel plus force over time. X-axis Time (seconds). Cap channel Y-axis includes Capacitance pF and delta Capacitance pF. Force graph Y-axis is Newtons.</t>
        </is>
      </c>
      <c r="H65" s="35" t="inlineStr"/>
      <c r="I65" s="35" t="inlineStr"/>
      <c r="J65" s="35" t="inlineStr"/>
      <c r="K65" s="36" t="inlineStr"/>
    </row>
    <row r="66" ht="58" customHeight="1">
      <c r="A66" s="37" t="inlineStr">
        <is>
          <t>1.8.3</t>
        </is>
      </c>
      <c r="B66" s="37" t="inlineStr">
        <is>
          <t>Failure Check Tab</t>
        </is>
      </c>
      <c r="C66" s="38" t="inlineStr">
        <is>
          <t>As a test fixture user, I want to know which capacitance channels had negative values and which channels had a large delta after performing a shear test.</t>
        </is>
      </c>
      <c r="D66" s="37" t="inlineStr">
        <is>
          <t>must</t>
        </is>
      </c>
      <c r="E66" s="37" t="inlineStr">
        <is>
          <t>Not Started</t>
        </is>
      </c>
      <c r="F66" s="37" t="inlineStr">
        <is>
          <t>Shear Analysis</t>
        </is>
      </c>
      <c r="G66" s="38" t="inlineStr">
        <is>
          <t>Failure Check table has columns for capacitance channels and rows for negative values pF/None and delta values pF/None. High delta is greater than 10 pF.</t>
        </is>
      </c>
      <c r="H66" s="37" t="inlineStr"/>
      <c r="I66" s="37" t="inlineStr"/>
      <c r="J66" s="37" t="inlineStr"/>
      <c r="K66" s="38" t="inlineStr"/>
    </row>
    <row r="67" ht="58" customHeight="1">
      <c r="A67" s="35" t="inlineStr">
        <is>
          <t>1.8.4</t>
        </is>
      </c>
      <c r="B67" s="35" t="inlineStr">
        <is>
          <t>Report Outputs Tab</t>
        </is>
      </c>
      <c r="C67" s="36" t="inlineStr">
        <is>
          <t>As a test fixture user, I want to easily copy information from the Shear analysis summary so I can document it later.</t>
        </is>
      </c>
      <c r="D67" s="35" t="inlineStr">
        <is>
          <t>must</t>
        </is>
      </c>
      <c r="E67" s="35" t="inlineStr">
        <is>
          <t>Not Started</t>
        </is>
      </c>
      <c r="F67" s="35" t="inlineStr">
        <is>
          <t>Shear Analysis</t>
        </is>
      </c>
      <c r="G67" s="36" t="inlineStr">
        <is>
          <t>Report Output includes Sensor ID, pass/fail, shorted channels, channels, test date, tester initials, and test version. Copy Values copies Excel-pastable values.</t>
        </is>
      </c>
      <c r="H67" s="35" t="inlineStr"/>
      <c r="I67" s="35" t="inlineStr"/>
      <c r="J67" s="35" t="inlineStr"/>
      <c r="K67" s="36" t="inlineStr"/>
    </row>
    <row r="68" ht="58" customHeight="1">
      <c r="A68" s="37" t="inlineStr">
        <is>
          <t>1.9.1</t>
        </is>
      </c>
      <c r="B68" s="37" t="inlineStr">
        <is>
          <t>Manual Testing Window</t>
        </is>
      </c>
      <c r="C68" s="38" t="inlineStr">
        <is>
          <t>As a test fixture user, I want the Manual Test to open in a dedicated Manual Testing Window so that I can manually control the Zaber stage and perform custom tests.</t>
        </is>
      </c>
      <c r="D68" s="37" t="inlineStr">
        <is>
          <t>must</t>
        </is>
      </c>
      <c r="E68" s="37" t="inlineStr">
        <is>
          <t>Not Started</t>
        </is>
      </c>
      <c r="F68" s="37" t="inlineStr">
        <is>
          <t>Manual Test</t>
        </is>
      </c>
      <c r="G68" s="38" t="inlineStr">
        <is>
          <t>Clicking Begin Test with Test Type = Manual Test opens “Manual Testing Window” with manual controls, actuator movement controls, live graphs, graph display controls, Pause, and Perform Analysis.</t>
        </is>
      </c>
      <c r="H68" s="37" t="inlineStr"/>
      <c r="I68" s="37" t="inlineStr"/>
      <c r="J68" s="37" t="inlineStr"/>
      <c r="K68" s="38" t="inlineStr"/>
    </row>
    <row r="69" ht="58" customHeight="1">
      <c r="A69" s="35" t="inlineStr">
        <is>
          <t>1.9.2</t>
        </is>
      </c>
      <c r="B69" s="35" t="inlineStr">
        <is>
          <t>Control By Distance</t>
        </is>
      </c>
      <c r="C69" s="36" t="inlineStr">
        <is>
          <t>As a test fixture user, I want to manually control actuator movement by distance so that I can perform precise step-by-step actuator positioning and exploratory testing.</t>
        </is>
      </c>
      <c r="D69" s="35" t="inlineStr">
        <is>
          <t>must</t>
        </is>
      </c>
      <c r="E69" s="35" t="inlineStr">
        <is>
          <t>Not Started</t>
        </is>
      </c>
      <c r="F69" s="35" t="inlineStr">
        <is>
          <t>Manual Test</t>
        </is>
      </c>
      <c r="G69" s="36" t="inlineStr">
        <is>
          <t>Distance mode shows Increment Distance, Actuator Speed, Move Up, Move Down, Home. Movement updates position and graphs. Controls lock during movement and re-enable when movement completes.</t>
        </is>
      </c>
      <c r="H69" s="35" t="inlineStr"/>
      <c r="I69" s="35" t="inlineStr"/>
      <c r="J69" s="35" t="inlineStr"/>
      <c r="K69" s="36" t="inlineStr"/>
    </row>
    <row r="70" ht="58" customHeight="1">
      <c r="A70" s="37" t="inlineStr">
        <is>
          <t>1.9.3</t>
        </is>
      </c>
      <c r="B70" s="37" t="inlineStr">
        <is>
          <t>Control By Force</t>
        </is>
      </c>
      <c r="C70" s="38" t="inlineStr">
        <is>
          <t>As a test fixture user, I want to manually control actuator movement by force so that I can perform force-based compression testing and exploratory sensor characterization.</t>
        </is>
      </c>
      <c r="D70" s="37" t="inlineStr">
        <is>
          <t>must</t>
        </is>
      </c>
      <c r="E70" s="37" t="inlineStr">
        <is>
          <t>Not Started</t>
        </is>
      </c>
      <c r="F70" s="37" t="inlineStr">
        <is>
          <t>Manual Test</t>
        </is>
      </c>
      <c r="G70" s="38" t="inlineStr">
        <is>
          <t>Force mode shows Target Force, Actuator Speed, Release, Start Compression, Home. Live graphs update during compression/release. Controls lock during active movement/compression.</t>
        </is>
      </c>
      <c r="H70" s="37" t="inlineStr"/>
      <c r="I70" s="37" t="inlineStr"/>
      <c r="J70" s="37" t="inlineStr"/>
      <c r="K70" s="38" t="inlineStr"/>
    </row>
    <row r="71" ht="58" customHeight="1">
      <c r="A71" s="35" t="inlineStr">
        <is>
          <t>1.9.4</t>
        </is>
      </c>
      <c r="B71" s="35" t="inlineStr">
        <is>
          <t>Drag Position Control</t>
        </is>
      </c>
      <c r="C71" s="36" t="inlineStr">
        <is>
          <t>As a test fixture user, I want to stage actuator movement using a slider so that I can preview the desired position before physically moving the actuator.</t>
        </is>
      </c>
      <c r="D71" s="35" t="inlineStr">
        <is>
          <t>must</t>
        </is>
      </c>
      <c r="E71" s="35" t="inlineStr">
        <is>
          <t>Not Started</t>
        </is>
      </c>
      <c r="F71" s="35" t="inlineStr">
        <is>
          <t>Manual Test</t>
        </is>
      </c>
      <c r="G71" s="36" t="inlineStr">
        <is>
          <t>Drag Position Control stages movement only. Readout displays selected position and travel from baseline. Confirm Drag Move enables after slider change and moves only after confirmation. Controls lock during move.</t>
        </is>
      </c>
      <c r="H71" s="35" t="inlineStr"/>
      <c r="I71" s="35" t="inlineStr"/>
      <c r="J71" s="35" t="inlineStr"/>
      <c r="K71" s="36" t="inlineStr"/>
    </row>
    <row r="72" ht="58" customHeight="1">
      <c r="A72" s="37" t="inlineStr">
        <is>
          <t>1.9.5</t>
        </is>
      </c>
      <c r="B72" s="37" t="inlineStr">
        <is>
          <t>Manual Test Live Graphs</t>
        </is>
      </c>
      <c r="C72" s="38" t="inlineStr">
        <is>
          <t>As a test fixture user, I want live graphs during manual testing so that I can monitor sensor behavior while manually moving the actuator.</t>
        </is>
      </c>
      <c r="D72" s="37" t="inlineStr">
        <is>
          <t>must</t>
        </is>
      </c>
      <c r="E72" s="37" t="inlineStr">
        <is>
          <t>Not Started</t>
        </is>
      </c>
      <c r="F72" s="37" t="inlineStr">
        <is>
          <t>Manual Test</t>
        </is>
      </c>
      <c r="G72" s="38" t="inlineStr">
        <is>
          <t>Manual Testing Window displays Capacitance vs Force, Force vs Time, and Capacitance vs Time. Graphs update with movement/compression.</t>
        </is>
      </c>
      <c r="H72" s="37" t="inlineStr"/>
      <c r="I72" s="37" t="inlineStr"/>
      <c r="J72" s="37" t="inlineStr"/>
      <c r="K72" s="38" t="inlineStr"/>
    </row>
    <row r="73" ht="58" customHeight="1">
      <c r="A73" s="35" t="inlineStr">
        <is>
          <t>1.9.6</t>
        </is>
      </c>
      <c r="B73" s="35" t="inlineStr">
        <is>
          <t>Graph Display Controls</t>
        </is>
      </c>
      <c r="C73" s="36" t="inlineStr">
        <is>
          <t>As a test fixture user, I want graph display controls so that I can customize manual graph visualization.</t>
        </is>
      </c>
      <c r="D73" s="35" t="inlineStr">
        <is>
          <t>must</t>
        </is>
      </c>
      <c r="E73" s="35" t="inlineStr">
        <is>
          <t>Not Started</t>
        </is>
      </c>
      <c r="F73" s="35" t="inlineStr">
        <is>
          <t>Manual Test</t>
        </is>
      </c>
      <c r="G73" s="36" t="inlineStr">
        <is>
          <t>User can edit Last Seconds to Display, Y-Axis Min, Y-Axis Limit, and toggle Show Markers and Cumulative Time.</t>
        </is>
      </c>
      <c r="H73" s="35" t="inlineStr"/>
      <c r="I73" s="35" t="inlineStr"/>
      <c r="J73" s="35" t="inlineStr"/>
      <c r="K73" s="36" t="inlineStr"/>
    </row>
    <row r="74" ht="58" customHeight="1">
      <c r="A74" s="37" t="inlineStr">
        <is>
          <t>1.9.7</t>
        </is>
      </c>
      <c r="B74" s="37" t="inlineStr">
        <is>
          <t>Pause Button</t>
        </is>
      </c>
      <c r="C74" s="38" t="inlineStr">
        <is>
          <t>As a test fixture user, I want to pause Manual Testing so that I can stop active movement or graph updates safely.</t>
        </is>
      </c>
      <c r="D74" s="37" t="inlineStr">
        <is>
          <t>must</t>
        </is>
      </c>
      <c r="E74" s="37" t="inlineStr">
        <is>
          <t>Not Started</t>
        </is>
      </c>
      <c r="F74" s="37" t="inlineStr">
        <is>
          <t>Manual Test</t>
        </is>
      </c>
      <c r="G74" s="38" t="inlineStr">
        <is>
          <t>Pause stops active actuator movement. Graph updates pause while workflow is paused. Movement controls remain locked until system is safe/ready.</t>
        </is>
      </c>
      <c r="H74" s="37" t="inlineStr"/>
      <c r="I74" s="37" t="inlineStr"/>
      <c r="J74" s="37" t="inlineStr"/>
      <c r="K74" s="38" t="inlineStr"/>
    </row>
    <row r="75" ht="58" customHeight="1">
      <c r="A75" s="35" t="inlineStr">
        <is>
          <t>1.9.8</t>
        </is>
      </c>
      <c r="B75" s="36" t="inlineStr">
        <is>
          <t>Perform Analysis Button</t>
        </is>
      </c>
      <c r="C75" s="36" t="inlineStr">
        <is>
          <t>As a test fixture user, I want to perform analysis on manual test data so that I can review results from the current preview/manual dataset.</t>
        </is>
      </c>
      <c r="D75" s="35" t="inlineStr">
        <is>
          <t>must</t>
        </is>
      </c>
      <c r="E75" s="35" t="inlineStr">
        <is>
          <t>Not Started</t>
        </is>
      </c>
      <c r="F75" s="35" t="inlineStr">
        <is>
          <t>Manual Test</t>
        </is>
      </c>
      <c r="G75" s="36" t="inlineStr">
        <is>
          <t>Perform Analysis becomes available after manual test data exists. Clicking Perform Analysis sends the current manual readings to the backend, creates/saves Manual FUT/CAP and analysis output files, shows a loading state, and opens the Manual Analysis Page.</t>
        </is>
      </c>
      <c r="H75" s="35" t="inlineStr"/>
      <c r="I75" s="35" t="inlineStr"/>
      <c r="J75" s="35" t="inlineStr"/>
      <c r="K75" s="36" t="inlineStr"/>
    </row>
    <row r="76" ht="58" customHeight="1">
      <c r="A76" s="37" t="inlineStr">
        <is>
          <t>1.9.9</t>
        </is>
      </c>
      <c r="B76" s="37" t="inlineStr">
        <is>
          <t>Info Icons</t>
        </is>
      </c>
      <c r="C76" s="38" t="inlineStr">
        <is>
          <t>As a test fixture user, I want informational help icons throughout the window so that I can quickly understand fields, workflows, and testing terminology without needing external documentation.</t>
        </is>
      </c>
      <c r="D76" s="37" t="inlineStr">
        <is>
          <t>must</t>
        </is>
      </c>
      <c r="E76" s="37" t="inlineStr">
        <is>
          <t>Not Started</t>
        </is>
      </c>
      <c r="F76" s="37" t="inlineStr">
        <is>
          <t>Manual Test</t>
        </is>
      </c>
      <c r="G76" s="38" t="inlineStr">
        <is>
          <t>Info icons appear beside important labels/controls. Hover shows concise tooltip and disappears on mouse away.</t>
        </is>
      </c>
      <c r="H76" s="37" t="inlineStr"/>
      <c r="I76" s="37" t="inlineStr"/>
      <c r="J76" s="37" t="inlineStr"/>
      <c r="K76" s="38" t="inlineStr"/>
    </row>
    <row r="77" ht="58" customHeight="1">
      <c r="A77" s="35" t="inlineStr">
        <is>
          <t>1.10.1</t>
        </is>
      </c>
      <c r="B77" s="35" t="inlineStr">
        <is>
          <t>Manual Analysis Window</t>
        </is>
      </c>
      <c r="C77" s="36" t="inlineStr">
        <is>
          <t>As a test fixture user, I want Manual Test results to open in a dedicated analysis window so that I can review the data collected during manual actuator movement.</t>
        </is>
      </c>
      <c r="D77" s="35" t="inlineStr">
        <is>
          <t>must</t>
        </is>
      </c>
      <c r="E77" s="35" t="inlineStr">
        <is>
          <t>Not Started</t>
        </is>
      </c>
      <c r="F77" s="35" t="inlineStr">
        <is>
          <t>Manual Analysis</t>
        </is>
      </c>
      <c r="G77" s="36" t="inlineStr">
        <is>
          <t>Clicking Perform Analysis opens “Manual Analysis Data and Plots.” Window displays plots and tabs for manual analysis.</t>
        </is>
      </c>
      <c r="H77" s="35" t="inlineStr"/>
      <c r="I77" s="35" t="inlineStr"/>
      <c r="J77" s="35" t="inlineStr"/>
      <c r="K77" s="36" t="inlineStr"/>
    </row>
    <row r="78" ht="58" customHeight="1">
      <c r="A78" s="37" t="inlineStr">
        <is>
          <t>1.10.2</t>
        </is>
      </c>
      <c r="B78" s="37" t="inlineStr">
        <is>
          <t>Manual Analysis Plot Tabs</t>
        </is>
      </c>
      <c r="C78" s="38" t="inlineStr">
        <is>
          <t>As a test fixture user, I want Manual Analysis plots organized into tabs so that I can switch between different sensor relationships easily.</t>
        </is>
      </c>
      <c r="D78" s="37" t="inlineStr">
        <is>
          <t>must</t>
        </is>
      </c>
      <c r="E78" s="37" t="inlineStr">
        <is>
          <t>Not Started</t>
        </is>
      </c>
      <c r="F78" s="37" t="inlineStr">
        <is>
          <t>Manual Analysis</t>
        </is>
      </c>
      <c r="G78" s="38" t="inlineStr">
        <is>
          <t>Tabs include Capacitance vs Force, Force vs Time, and Capacitance vs Time. Each tab displays plot from current manual data with markers and connected line.</t>
        </is>
      </c>
      <c r="H78" s="37" t="inlineStr"/>
      <c r="I78" s="37" t="inlineStr"/>
      <c r="J78" s="37" t="inlineStr"/>
      <c r="K78" s="38" t="inlineStr"/>
    </row>
    <row r="79" ht="58" customHeight="1">
      <c r="A79" s="35" t="inlineStr">
        <is>
          <t>1.11.1</t>
        </is>
      </c>
      <c r="B79" s="35" t="inlineStr">
        <is>
          <t>Cyclical Testing Window</t>
        </is>
      </c>
      <c r="C79" s="36" t="inlineStr">
        <is>
          <t>As a test fixture user, I want the Cyclical Test to open in a dedicated Cyclical Testing Window so that I can monitor and control a cyclical test.</t>
        </is>
      </c>
      <c r="D79" s="35" t="inlineStr">
        <is>
          <t>must</t>
        </is>
      </c>
      <c r="E79" s="35" t="inlineStr">
        <is>
          <t>Not Started</t>
        </is>
      </c>
      <c r="F79" s="35" t="inlineStr">
        <is>
          <t>Cyclical Test</t>
        </is>
      </c>
      <c r="G79" s="36" t="inlineStr">
        <is>
          <t>Clicking Begin Test with Test Type = Cyclical Test opens “Cyclical Testing Window.”</t>
        </is>
      </c>
      <c r="H79" s="35" t="inlineStr"/>
      <c r="I79" s="35" t="inlineStr"/>
      <c r="J79" s="35" t="inlineStr"/>
      <c r="K79" s="36" t="inlineStr"/>
    </row>
    <row r="80" ht="58" customHeight="1">
      <c r="A80" s="37" t="inlineStr">
        <is>
          <t>1.11.2</t>
        </is>
      </c>
      <c r="B80" s="37" t="inlineStr">
        <is>
          <t>Waveform Type Dropdown</t>
        </is>
      </c>
      <c r="C80" s="38" t="inlineStr">
        <is>
          <t>As a test fixture user, I want to be able to perform cyclical tests with different waveform outputs.</t>
        </is>
      </c>
      <c r="D80" s="37" t="inlineStr">
        <is>
          <t>must</t>
        </is>
      </c>
      <c r="E80" s="37" t="inlineStr">
        <is>
          <t>Not Started</t>
        </is>
      </c>
      <c r="F80" s="37" t="inlineStr">
        <is>
          <t>Cyclical Test</t>
        </is>
      </c>
      <c r="G80" s="38" t="inlineStr">
        <is>
          <t>Waveform Type dropdown includes Sine and Square.</t>
        </is>
      </c>
      <c r="H80" s="37" t="inlineStr"/>
      <c r="I80" s="37" t="inlineStr"/>
      <c r="J80" s="37" t="inlineStr"/>
      <c r="K80" s="38" t="inlineStr"/>
    </row>
    <row r="81" ht="58" customHeight="1">
      <c r="A81" s="35" t="inlineStr">
        <is>
          <t>1.11.3</t>
        </is>
      </c>
      <c r="B81" s="35" t="inlineStr">
        <is>
          <t>Lower Force Bound Integer Field</t>
        </is>
      </c>
      <c r="C81" s="36" t="inlineStr">
        <is>
          <t>As a test fixture user, I want to control the lower bound of the waveform during a cyclical test.</t>
        </is>
      </c>
      <c r="D81" s="35" t="inlineStr">
        <is>
          <t>must</t>
        </is>
      </c>
      <c r="E81" s="35" t="inlineStr">
        <is>
          <t>Not Started</t>
        </is>
      </c>
      <c r="F81" s="35" t="inlineStr">
        <is>
          <t>Cyclical Test</t>
        </is>
      </c>
      <c r="G81" s="36" t="inlineStr">
        <is>
          <t>Lower Force Bound accepts an integer greater than 0, must be lower than Upper Force Bound, and defaults to 1 N. Invalid bounds show an error.</t>
        </is>
      </c>
      <c r="H81" s="35" t="inlineStr"/>
      <c r="I81" s="35" t="inlineStr"/>
      <c r="J81" s="35" t="inlineStr"/>
      <c r="K81" s="36" t="inlineStr">
        <is>
          <t>Current GUI discussion also mentioned allowing -20 N lower bound; confirm final requirement.</t>
        </is>
      </c>
    </row>
    <row r="82" ht="58" customHeight="1">
      <c r="A82" s="37" t="inlineStr">
        <is>
          <t>1.11.4</t>
        </is>
      </c>
      <c r="B82" s="37" t="inlineStr">
        <is>
          <t>Upper Force Bound Integer Field</t>
        </is>
      </c>
      <c r="C82" s="38" t="inlineStr">
        <is>
          <t>As a test fixture user, I want to control the upper bound of the waveform during a cyclical test.</t>
        </is>
      </c>
      <c r="D82" s="37" t="inlineStr">
        <is>
          <t>must</t>
        </is>
      </c>
      <c r="E82" s="37" t="inlineStr">
        <is>
          <t>Not Started</t>
        </is>
      </c>
      <c r="F82" s="37" t="inlineStr">
        <is>
          <t>Cyclical Test</t>
        </is>
      </c>
      <c r="G82" s="38" t="inlineStr">
        <is>
          <t>Upper Force Bound must be &lt;= 32 N, strictly higher than Lower Force Bound, and defaults to 20 N. Invalid bounds show an error.</t>
        </is>
      </c>
      <c r="H82" s="37" t="inlineStr"/>
      <c r="I82" s="37" t="inlineStr"/>
      <c r="J82" s="37" t="inlineStr"/>
      <c r="K82" s="38" t="inlineStr"/>
    </row>
    <row r="83" ht="58" customHeight="1">
      <c r="A83" s="35" t="inlineStr">
        <is>
          <t>1.11.5</t>
        </is>
      </c>
      <c r="B83" s="35" t="inlineStr">
        <is>
          <t>Frequency Integer Field</t>
        </is>
      </c>
      <c r="C83" s="36" t="inlineStr">
        <is>
          <t>As a test fixture user, I want to control how many cycles occur per second by manipulating the frequency of the cyclical waveform.</t>
        </is>
      </c>
      <c r="D83" s="35" t="inlineStr">
        <is>
          <t>must</t>
        </is>
      </c>
      <c r="E83" s="35" t="inlineStr">
        <is>
          <t>Not Started</t>
        </is>
      </c>
      <c r="F83" s="35" t="inlineStr">
        <is>
          <t>Cyclical Test</t>
        </is>
      </c>
      <c r="G83" s="36" t="inlineStr">
        <is>
          <t>Frequency field accepts positive integer and represents cycles per second. Default is 1 Hz.</t>
        </is>
      </c>
      <c r="H83" s="35" t="inlineStr"/>
      <c r="I83" s="35" t="inlineStr"/>
      <c r="J83" s="35" t="inlineStr"/>
      <c r="K83" s="36" t="inlineStr"/>
    </row>
    <row r="84" ht="58" customHeight="1">
      <c r="A84" s="37" t="inlineStr">
        <is>
          <t>1.11.6</t>
        </is>
      </c>
      <c r="B84" s="37" t="inlineStr">
        <is>
          <t>Number of Cycles Integer Field</t>
        </is>
      </c>
      <c r="C84" s="38" t="inlineStr">
        <is>
          <t>As a test fixture user, I want to control the number of cycles that should be completed before the test ends.</t>
        </is>
      </c>
      <c r="D84" s="37" t="inlineStr">
        <is>
          <t>must</t>
        </is>
      </c>
      <c r="E84" s="37" t="inlineStr">
        <is>
          <t>Not Started</t>
        </is>
      </c>
      <c r="F84" s="37" t="inlineStr">
        <is>
          <t>Cyclical Test</t>
        </is>
      </c>
      <c r="G84" s="38" t="inlineStr">
        <is>
          <t>Number of Cycles accepts positive integer. Message estimates test time from Frequency and Number of Cycles. Default is 28,800 cycles.</t>
        </is>
      </c>
      <c r="H84" s="37" t="inlineStr"/>
      <c r="I84" s="37" t="inlineStr"/>
      <c r="J84" s="37" t="inlineStr"/>
      <c r="K84" s="38" t="inlineStr"/>
    </row>
    <row r="85" ht="58" customHeight="1">
      <c r="A85" s="35" t="inlineStr">
        <is>
          <t>1.11.7</t>
        </is>
      </c>
      <c r="B85" s="35" t="inlineStr">
        <is>
          <t>Start Button</t>
        </is>
      </c>
      <c r="C85" s="36" t="inlineStr">
        <is>
          <t>As a test fixture user, I want to be able to start a cyclical test.</t>
        </is>
      </c>
      <c r="D85" s="35" t="inlineStr">
        <is>
          <t>must</t>
        </is>
      </c>
      <c r="E85" s="35" t="inlineStr">
        <is>
          <t>Not Started</t>
        </is>
      </c>
      <c r="F85" s="35" t="inlineStr">
        <is>
          <t>Cyclical Test</t>
        </is>
      </c>
      <c r="G85" s="36" t="inlineStr">
        <is>
          <t>Start begins Cyclical test only when all inputs are valid. Once clicked, all input fields are disabled.</t>
        </is>
      </c>
      <c r="H85" s="35" t="inlineStr"/>
      <c r="I85" s="35" t="inlineStr"/>
      <c r="J85" s="35" t="inlineStr"/>
      <c r="K85" s="36" t="inlineStr"/>
    </row>
    <row r="86" ht="58" customHeight="1">
      <c r="A86" s="37" t="inlineStr">
        <is>
          <t>1.11.8</t>
        </is>
      </c>
      <c r="B86" s="38" t="inlineStr">
        <is>
          <t>Stop Button</t>
        </is>
      </c>
      <c r="C86" s="38" t="inlineStr">
        <is>
          <t>As a test fixture user, I want to be able to stop a cyclical test while it is running.</t>
        </is>
      </c>
      <c r="D86" s="37" t="inlineStr">
        <is>
          <t>must</t>
        </is>
      </c>
      <c r="E86" s="37" t="inlineStr">
        <is>
          <t>Not Started</t>
        </is>
      </c>
      <c r="F86" s="37" t="inlineStr">
        <is>
          <t>Cyclical Test</t>
        </is>
      </c>
      <c r="G86" s="38" t="inlineStr">
        <is>
          <t>The Cyclical Testing Window includes a button labeled “Stop.” Clicking Stop stops the cyclical test while it is occurring. Stopping clears the active test state so the cyclical test can be restarted from the beginning.</t>
        </is>
      </c>
      <c r="H86" s="37" t="inlineStr"/>
      <c r="I86" s="37" t="inlineStr"/>
      <c r="J86" s="37" t="inlineStr"/>
      <c r="K86" s="38" t="inlineStr">
        <is>
          <t>Button label updated from Pause to Stop.</t>
        </is>
      </c>
    </row>
    <row r="87" ht="58" customHeight="1">
      <c r="A87" s="35" t="inlineStr">
        <is>
          <t>1.11.9</t>
        </is>
      </c>
      <c r="B87" s="35" t="inlineStr">
        <is>
          <t>Display Graph</t>
        </is>
      </c>
      <c r="C87" s="36" t="inlineStr">
        <is>
          <t>As a test fixture user, I want to be able to look at a live graph of the Cyclical test while it is running.</t>
        </is>
      </c>
      <c r="D87" s="35" t="inlineStr">
        <is>
          <t>must</t>
        </is>
      </c>
      <c r="E87" s="35" t="inlineStr">
        <is>
          <t>Not Started</t>
        </is>
      </c>
      <c r="F87" s="35" t="inlineStr">
        <is>
          <t>Cyclical Test</t>
        </is>
      </c>
      <c r="G87" s="36" t="inlineStr">
        <is>
          <t>Right side displays live Force versus Time graph while running. Graph is blank when idle. Completing the test saves graph to selected save folder.</t>
        </is>
      </c>
      <c r="H87" s="35" t="inlineStr"/>
      <c r="I87" s="35" t="inlineStr"/>
      <c r="J87" s="35" t="inlineStr"/>
      <c r="K87" s="36" t="inlineStr">
        <is>
          <t>Previous GUI decision said cyclical does not save data; confirm final behavior.</t>
        </is>
      </c>
    </row>
    <row r="88" ht="58" customHeight="1">
      <c r="A88" s="37" t="inlineStr">
        <is>
          <t>1.11.11</t>
        </is>
      </c>
      <c r="B88" s="37" t="inlineStr">
        <is>
          <t>Info Icons</t>
        </is>
      </c>
      <c r="C88" s="38" t="inlineStr">
        <is>
          <t>As a test fixture user, I want informational help icons throughout the window so that I can quickly understand fields, workflows, and testing terminology without needing external documentation.</t>
        </is>
      </c>
      <c r="D88" s="37" t="inlineStr">
        <is>
          <t>must</t>
        </is>
      </c>
      <c r="E88" s="37" t="inlineStr">
        <is>
          <t>Not Started</t>
        </is>
      </c>
      <c r="F88" s="37" t="inlineStr">
        <is>
          <t>Cyclical Test</t>
        </is>
      </c>
      <c r="G88" s="38" t="inlineStr">
        <is>
          <t>Info icons appear beside important labels/controls. Hover shows concise tooltip and disappears on mouse away.</t>
        </is>
      </c>
      <c r="H88" s="37" t="inlineStr"/>
      <c r="I88" s="37" t="inlineStr"/>
      <c r="J88" s="37" t="inlineStr"/>
      <c r="K88" s="38" t="inlineStr"/>
    </row>
  </sheetData>
  <autoFilter ref="A14:K88"/>
  <dataValidations count="3">
    <dataValidation sqref="D15:D88" showDropDown="0" showInputMessage="0" showErrorMessage="0" allowBlank="0" type="list">
      <formula1>"must,should,could"</formula1>
    </dataValidation>
    <dataValidation sqref="E15:E88" showDropDown="0" showInputMessage="0" showErrorMessage="0" allowBlank="0" type="list">
      <formula1>"Not Started,In Progress,Ready to Test,Done,Blocked"</formula1>
    </dataValidation>
    <dataValidation sqref="F15:F88" showDropDown="0" showInputMessage="0" showErrorMessage="0" allowBlank="1" type="list">
      <formula1>"Main Window,Existing Test Found,Test Configuration,Calibration,EM Test,EM Analysis,Shear Test,Shear Analysis,Manual Test,Manual Analysis,Cyclical Test"</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6" topLeftCell="A7" activePane="bottomLeft" state="frozen"/>
      <selection pane="bottomLeft" activeCell="A1" sqref="A1"/>
    </sheetView>
  </sheetViews>
  <sheetFormatPr baseColWidth="8" defaultRowHeight="15"/>
  <cols>
    <col width="24" customWidth="1" min="1" max="1"/>
    <col width="38" customWidth="1" min="2" max="2"/>
    <col width="20" customWidth="1" min="3" max="3"/>
    <col width="18" customWidth="1" min="4" max="4"/>
    <col width="18" customWidth="1" min="5" max="5"/>
    <col width="28" customWidth="1" min="6" max="6"/>
  </cols>
  <sheetData>
    <row r="1">
      <c r="A1" s="17" t="inlineStr">
        <is>
          <t>Testing Information</t>
        </is>
      </c>
    </row>
    <row r="2">
      <c r="A2" s="29" t="inlineStr">
        <is>
          <t>load cell error metrics and sampling-rate notes for documentation</t>
        </is>
      </c>
    </row>
    <row r="4">
      <c r="A4" s="39" t="inlineStr">
        <is>
          <t>Load Cell Error Metrics</t>
        </is>
      </c>
    </row>
    <row r="5">
      <c r="A5" s="40" t="inlineStr">
        <is>
          <t>Rated Output (RO)</t>
        </is>
      </c>
      <c r="B5" s="32" t="inlineStr">
        <is>
          <t>5 lb / 22.24 N</t>
        </is>
      </c>
    </row>
    <row r="7" ht="36" customHeight="1">
      <c r="A7" s="41" t="inlineStr">
        <is>
          <t>Metric</t>
        </is>
      </c>
      <c r="B7" s="41" t="inlineStr">
        <is>
          <t>Definition</t>
        </is>
      </c>
      <c r="C7" s="41" t="inlineStr">
        <is>
          <t>Error (datasheet)</t>
        </is>
      </c>
      <c r="D7" s="41" t="inlineStr">
        <is>
          <t>Error in pounds</t>
        </is>
      </c>
      <c r="E7" s="41" t="inlineStr">
        <is>
          <t>Error in Newtons</t>
        </is>
      </c>
      <c r="F7" s="41" t="inlineStr">
        <is>
          <t>Error in kPa if surface area is 325 mm2</t>
        </is>
      </c>
    </row>
    <row r="8" ht="36" customHeight="1">
      <c r="A8" s="42" t="inlineStr">
        <is>
          <t>Nonlinearity</t>
        </is>
      </c>
      <c r="B8" s="36" t="inlineStr">
        <is>
          <t>Error of the load as it is increasing</t>
        </is>
      </c>
      <c r="C8" s="36" t="inlineStr">
        <is>
          <t>± 0.5% of RO</t>
        </is>
      </c>
      <c r="D8" s="36" t="inlineStr">
        <is>
          <t>± 0.025 lb</t>
        </is>
      </c>
      <c r="E8" s="36" t="inlineStr">
        <is>
          <t>± 0.1112 N</t>
        </is>
      </c>
      <c r="F8" s="36" t="inlineStr">
        <is>
          <t>± 0.3422 kPa</t>
        </is>
      </c>
    </row>
    <row r="9" ht="36" customHeight="1">
      <c r="A9" s="43" t="inlineStr">
        <is>
          <t>Hysteresis</t>
        </is>
      </c>
      <c r="B9" s="38" t="inlineStr">
        <is>
          <t>Error between loading and unloading</t>
        </is>
      </c>
      <c r="C9" s="38" t="inlineStr">
        <is>
          <t>± 0.5% of RO</t>
        </is>
      </c>
      <c r="D9" s="38" t="inlineStr">
        <is>
          <t>± 0.025 lb</t>
        </is>
      </c>
      <c r="E9" s="38" t="inlineStr">
        <is>
          <t>± 0.1112 N</t>
        </is>
      </c>
      <c r="F9" s="38" t="inlineStr">
        <is>
          <t>± 0.3422 kPa</t>
        </is>
      </c>
    </row>
    <row r="10" ht="36" customHeight="1">
      <c r="A10" s="42" t="inlineStr">
        <is>
          <t>Nonrepeatability</t>
        </is>
      </c>
      <c r="B10" s="36" t="inlineStr">
        <is>
          <t>Error between running the same test multiple times</t>
        </is>
      </c>
      <c r="C10" s="36" t="inlineStr">
        <is>
          <t>± 0.1% of RO</t>
        </is>
      </c>
      <c r="D10" s="36" t="inlineStr">
        <is>
          <t>± 0.005 lb</t>
        </is>
      </c>
      <c r="E10" s="36" t="inlineStr">
        <is>
          <t>± 0.0222 N</t>
        </is>
      </c>
      <c r="F10" s="36" t="inlineStr"/>
    </row>
    <row r="11" ht="36" customHeight="1"/>
    <row r="12" ht="36" customHeight="1"/>
    <row r="13" ht="36" customHeight="1">
      <c r="A13" s="39" t="inlineStr">
        <is>
          <t>Sampling Rate</t>
        </is>
      </c>
    </row>
    <row r="14" ht="36" customHeight="1">
      <c r="A14" s="44" t="inlineStr">
        <is>
          <t>Current sensor output rate</t>
        </is>
      </c>
      <c r="B14" s="38" t="inlineStr">
        <is>
          <t>100 Hz</t>
        </is>
      </c>
    </row>
    <row r="15" ht="36" customHeight="1">
      <c r="A15" s="44" t="inlineStr">
        <is>
          <t>Signal types</t>
        </is>
      </c>
      <c r="B15" s="38" t="inlineStr">
        <is>
          <t>capacitance for each channel, xyz accelerometer, timestamp information</t>
        </is>
      </c>
    </row>
    <row r="16" ht="36" customHeight="1">
      <c r="A16" s="44" t="inlineStr">
        <is>
          <t>Load cell sampling target</t>
        </is>
      </c>
      <c r="B16" s="38" t="inlineStr">
        <is>
          <t>100 Hz, synchronized with the sensor output rate</t>
        </is>
      </c>
    </row>
    <row r="17" ht="36" customHeight="1">
      <c r="A17" s="44" t="inlineStr">
        <is>
          <t>Available FUTEK sampling rates</t>
        </is>
      </c>
      <c r="B17" s="38" t="inlineStr">
        <is>
          <t>2.5, 5, 10, 16.6, 20, 50, 60, 100, 400, 1200, 2400, 4800 Hz</t>
        </is>
      </c>
    </row>
    <row r="18" ht="36" customHeight="1">
      <c r="A18" s="44" t="inlineStr">
        <is>
          <t>Observation</t>
        </is>
      </c>
      <c r="B18" s="38" t="inlineStr">
        <is>
          <t>Higher sampling rates than 100 Hz have shown fluctuating values, likely from finer resolution.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172033"/>
    <outlinePr summaryBelow="1" summaryRight="1"/>
    <pageSetUpPr/>
  </sheetPr>
  <dimension ref="A1:J84"/>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Basic Settings</t>
        </is>
      </c>
      <c r="B2" s="10" t="inlineStr">
        <is>
          <t>Save folder is entered</t>
        </is>
      </c>
      <c r="C2" s="10" t="inlineStr">
        <is>
          <t>Verify clicked</t>
        </is>
      </c>
      <c r="D2" s="10" t="inlineStr">
        <is>
          <t>Save Folder field is not blank.</t>
        </is>
      </c>
      <c r="E2" s="10" t="inlineStr">
        <is>
          <t>Block Verify and show an error.</t>
        </is>
      </c>
      <c r="F2" s="11" t="inlineStr">
        <is>
          <t>Must</t>
        </is>
      </c>
      <c r="G2" s="11" t="inlineStr">
        <is>
          <t>Implemented</t>
        </is>
      </c>
      <c r="H2" s="10" t="inlineStr"/>
      <c r="I2" s="11" t="inlineStr"/>
      <c r="J2" s="10" t="inlineStr"/>
    </row>
    <row r="3">
      <c r="A3" s="12" t="inlineStr">
        <is>
          <t>Basic Settings</t>
        </is>
      </c>
      <c r="B3" s="13" t="inlineStr">
        <is>
          <t>Sensor type is selected</t>
        </is>
      </c>
      <c r="C3" s="13" t="inlineStr">
        <is>
          <t>Verify clicked</t>
        </is>
      </c>
      <c r="D3" s="13" t="inlineStr">
        <is>
          <t>Sensor Type is Standard or Inverted.</t>
        </is>
      </c>
      <c r="E3" s="13" t="inlineStr">
        <is>
          <t>Block Verify and show an error.</t>
        </is>
      </c>
      <c r="F3" s="14" t="inlineStr">
        <is>
          <t>Must</t>
        </is>
      </c>
      <c r="G3" s="14" t="inlineStr">
        <is>
          <t>Implemented</t>
        </is>
      </c>
      <c r="H3" s="13" t="inlineStr"/>
      <c r="I3" s="14" t="inlineStr"/>
      <c r="J3" s="13" t="inlineStr"/>
    </row>
    <row r="4">
      <c r="A4" s="9" t="inlineStr">
        <is>
          <t>Basic Settings</t>
        </is>
      </c>
      <c r="B4" s="10" t="inlineStr">
        <is>
          <t>Sensor ID year format</t>
        </is>
      </c>
      <c r="C4" s="10" t="inlineStr">
        <is>
          <t>Verify clicked</t>
        </is>
      </c>
      <c r="D4" s="10" t="inlineStr">
        <is>
          <t>Year segment is exactly 2 digits.</t>
        </is>
      </c>
      <c r="E4" s="10" t="inlineStr">
        <is>
          <t>Block Verify with a clear Sensor ID error.</t>
        </is>
      </c>
      <c r="F4" s="11" t="inlineStr">
        <is>
          <t>Must</t>
        </is>
      </c>
      <c r="G4" s="11" t="inlineStr">
        <is>
          <t>Implemented</t>
        </is>
      </c>
      <c r="H4" s="10" t="inlineStr"/>
      <c r="I4" s="11" t="inlineStr"/>
      <c r="J4" s="10" t="inlineStr"/>
    </row>
    <row r="5">
      <c r="A5" s="12" t="inlineStr">
        <is>
          <t>Basic Settings</t>
        </is>
      </c>
      <c r="B5" s="13" t="inlineStr">
        <is>
          <t>Sensor ID month format</t>
        </is>
      </c>
      <c r="C5" s="13" t="inlineStr">
        <is>
          <t>Verify clicked</t>
        </is>
      </c>
      <c r="D5" s="13" t="inlineStr">
        <is>
          <t>Month segment is exactly 2 digits.</t>
        </is>
      </c>
      <c r="E5" s="13" t="inlineStr">
        <is>
          <t>Block Verify with a clear Sensor ID error.</t>
        </is>
      </c>
      <c r="F5" s="14" t="inlineStr">
        <is>
          <t>Must</t>
        </is>
      </c>
      <c r="G5" s="14" t="inlineStr">
        <is>
          <t>Implemented</t>
        </is>
      </c>
      <c r="H5" s="13" t="inlineStr"/>
      <c r="I5" s="14" t="inlineStr"/>
      <c r="J5" s="13" t="inlineStr"/>
    </row>
    <row r="6">
      <c r="A6" s="9" t="inlineStr">
        <is>
          <t>Basic Settings</t>
        </is>
      </c>
      <c r="B6" s="10" t="inlineStr">
        <is>
          <t>Sensor ID day format</t>
        </is>
      </c>
      <c r="C6" s="10" t="inlineStr">
        <is>
          <t>Verify clicked</t>
        </is>
      </c>
      <c r="D6" s="10" t="inlineStr">
        <is>
          <t>Day segment is exactly 2 digits.</t>
        </is>
      </c>
      <c r="E6" s="10" t="inlineStr">
        <is>
          <t>Block Verify with a clear Sensor ID error.</t>
        </is>
      </c>
      <c r="F6" s="11" t="inlineStr">
        <is>
          <t>Must</t>
        </is>
      </c>
      <c r="G6" s="11" t="inlineStr">
        <is>
          <t>Implemented</t>
        </is>
      </c>
      <c r="H6" s="10" t="inlineStr"/>
      <c r="I6" s="11" t="inlineStr"/>
      <c r="J6" s="10" t="inlineStr"/>
    </row>
    <row r="7">
      <c r="A7" s="12" t="inlineStr">
        <is>
          <t>Basic Settings</t>
        </is>
      </c>
      <c r="B7" s="13" t="inlineStr">
        <is>
          <t>Sensor ID batch format</t>
        </is>
      </c>
      <c r="C7" s="13" t="inlineStr">
        <is>
          <t>Verify clicked</t>
        </is>
      </c>
      <c r="D7" s="13" t="inlineStr">
        <is>
          <t>Batch number is exactly 2 digits after fixed B prefix.</t>
        </is>
      </c>
      <c r="E7" s="13" t="inlineStr">
        <is>
          <t>Block Verify with a clear Sensor ID error.</t>
        </is>
      </c>
      <c r="F7" s="14" t="inlineStr">
        <is>
          <t>Must</t>
        </is>
      </c>
      <c r="G7" s="14" t="inlineStr">
        <is>
          <t>Implemented</t>
        </is>
      </c>
      <c r="H7" s="13" t="inlineStr"/>
      <c r="I7" s="14" t="inlineStr"/>
      <c r="J7" s="13" t="inlineStr"/>
    </row>
    <row r="8">
      <c r="A8" s="9" t="inlineStr">
        <is>
          <t>Basic Settings</t>
        </is>
      </c>
      <c r="B8" s="10" t="inlineStr">
        <is>
          <t>Sensor ID sensor number format</t>
        </is>
      </c>
      <c r="C8" s="10" t="inlineStr">
        <is>
          <t>Verify clicked</t>
        </is>
      </c>
      <c r="D8" s="10" t="inlineStr">
        <is>
          <t>Sensor number is exactly 2 digits after fixed S prefix.</t>
        </is>
      </c>
      <c r="E8" s="10" t="inlineStr">
        <is>
          <t>Block Verify with a clear Sensor ID error.</t>
        </is>
      </c>
      <c r="F8" s="11" t="inlineStr">
        <is>
          <t>Must</t>
        </is>
      </c>
      <c r="G8" s="11" t="inlineStr">
        <is>
          <t>Implemented</t>
        </is>
      </c>
      <c r="H8" s="10" t="inlineStr"/>
      <c r="I8" s="11" t="inlineStr"/>
      <c r="J8" s="10" t="inlineStr"/>
    </row>
    <row r="9">
      <c r="A9" s="12" t="inlineStr">
        <is>
          <t>Basic Settings</t>
        </is>
      </c>
      <c r="B9" s="13" t="inlineStr">
        <is>
          <t>Sensor ID location format</t>
        </is>
      </c>
      <c r="C9" s="13" t="inlineStr">
        <is>
          <t>Verify clicked</t>
        </is>
      </c>
      <c r="D9" s="13" t="inlineStr">
        <is>
          <t>Location is A, B, or AB.</t>
        </is>
      </c>
      <c r="E9" s="13" t="inlineStr">
        <is>
          <t>Block Verify with a clear Sensor ID error.</t>
        </is>
      </c>
      <c r="F9" s="14" t="inlineStr">
        <is>
          <t>Must</t>
        </is>
      </c>
      <c r="G9" s="14" t="inlineStr">
        <is>
          <t>Implemented</t>
        </is>
      </c>
      <c r="H9" s="13" t="inlineStr"/>
      <c r="I9" s="14" t="inlineStr"/>
      <c r="J9" s="13" t="inlineStr"/>
    </row>
    <row r="10">
      <c r="A10" s="9" t="inlineStr">
        <is>
          <t>Basic Settings</t>
        </is>
      </c>
      <c r="B10" s="10" t="inlineStr">
        <is>
          <t>Custom Sensor ID is entered</t>
        </is>
      </c>
      <c r="C10" s="10" t="inlineStr">
        <is>
          <t>Verify clicked with Use Custom Sensor ID enabled</t>
        </is>
      </c>
      <c r="D10" s="10" t="inlineStr">
        <is>
          <t>Custom Sensor ID field is not blank.</t>
        </is>
      </c>
      <c r="E10" s="10" t="inlineStr">
        <is>
          <t>Block Verify and show an error.</t>
        </is>
      </c>
      <c r="F10" s="11" t="inlineStr">
        <is>
          <t>Must</t>
        </is>
      </c>
      <c r="G10" s="11" t="inlineStr">
        <is>
          <t>Implemented</t>
        </is>
      </c>
      <c r="H10" s="10" t="inlineStr"/>
      <c r="I10" s="11" t="inlineStr"/>
      <c r="J10" s="10" t="inlineStr"/>
    </row>
    <row r="11">
      <c r="A11" s="12" t="inlineStr">
        <is>
          <t>Basic Settings</t>
        </is>
      </c>
      <c r="B11" s="13" t="inlineStr">
        <is>
          <t>Sensor ID placeholder behavior</t>
        </is>
      </c>
      <c r="C11" s="13" t="inlineStr">
        <is>
          <t>Page load</t>
        </is>
      </c>
      <c r="D11" s="13" t="inlineStr">
        <is>
          <t>Builder fields are blank; gray placeholders show last valid Sensor ID segments when available.</t>
        </is>
      </c>
      <c r="E11" s="13" t="inlineStr">
        <is>
          <t>Use current-date/example placeholders if no last Sensor ID exists.</t>
        </is>
      </c>
      <c r="F11" s="14" t="inlineStr">
        <is>
          <t>Should</t>
        </is>
      </c>
      <c r="G11" s="14" t="inlineStr">
        <is>
          <t>Implemented</t>
        </is>
      </c>
      <c r="H11" s="13" t="inlineStr"/>
      <c r="I11" s="14" t="inlineStr"/>
      <c r="J11" s="13" t="inlineStr"/>
    </row>
    <row r="12">
      <c r="A12" s="9" t="inlineStr">
        <is>
          <t>Basic Settings</t>
        </is>
      </c>
      <c r="B12" s="10" t="inlineStr">
        <is>
          <t>Custom Sensor ID placeholder behavior</t>
        </is>
      </c>
      <c r="C12" s="10" t="inlineStr">
        <is>
          <t>Page load</t>
        </is>
      </c>
      <c r="D12" s="10" t="inlineStr">
        <is>
          <t>Custom field is blank; gray placeholder may show last custom Sensor ID.</t>
        </is>
      </c>
      <c r="E12" s="10" t="inlineStr">
        <is>
          <t>Leave custom field blank if no last custom Sensor ID exists.</t>
        </is>
      </c>
      <c r="F12" s="11" t="inlineStr">
        <is>
          <t>Should</t>
        </is>
      </c>
      <c r="G12" s="11" t="inlineStr">
        <is>
          <t>Implemented</t>
        </is>
      </c>
      <c r="H12" s="10" t="inlineStr"/>
      <c r="I12" s="11" t="inlineStr"/>
      <c r="J12" s="10" t="inlineStr"/>
    </row>
    <row r="13">
      <c r="A13" s="12" t="inlineStr">
        <is>
          <t>Basic Settings</t>
        </is>
      </c>
      <c r="B13" s="13" t="inlineStr">
        <is>
          <t>Verify only opens configuration</t>
        </is>
      </c>
      <c r="C13" s="13" t="inlineStr">
        <is>
          <t>Verify clicked</t>
        </is>
      </c>
      <c r="D13" s="13" t="inlineStr">
        <is>
          <t>Verify validates basic fields and reveals Test Configuration.</t>
        </is>
      </c>
      <c r="E13" s="13" t="inlineStr">
        <is>
          <t>Do not create folders or test data during Verify.</t>
        </is>
      </c>
      <c r="F13" s="14" t="inlineStr">
        <is>
          <t>Must</t>
        </is>
      </c>
      <c r="G13" s="14" t="inlineStr">
        <is>
          <t>Implemented</t>
        </is>
      </c>
      <c r="H13" s="13" t="inlineStr"/>
      <c r="I13" s="14" t="inlineStr"/>
      <c r="J13" s="13" t="inlineStr"/>
    </row>
    <row r="14">
      <c r="A14" s="9" t="inlineStr">
        <is>
          <t>Test Configuration</t>
        </is>
      </c>
      <c r="B14" s="10" t="inlineStr">
        <is>
          <t>Verify required before Begin Test</t>
        </is>
      </c>
      <c r="C14" s="10" t="inlineStr">
        <is>
          <t>Begin Test clicked</t>
        </is>
      </c>
      <c r="D14" s="10" t="inlineStr">
        <is>
          <t>Settings were successfully verified first.</t>
        </is>
      </c>
      <c r="E14" s="10" t="inlineStr">
        <is>
          <t>Block Begin Test and show message.</t>
        </is>
      </c>
      <c r="F14" s="11" t="inlineStr">
        <is>
          <t>Must</t>
        </is>
      </c>
      <c r="G14" s="11" t="inlineStr">
        <is>
          <t>Implemented</t>
        </is>
      </c>
      <c r="H14" s="10" t="inlineStr"/>
      <c r="I14" s="11" t="inlineStr"/>
      <c r="J14" s="10" t="inlineStr"/>
    </row>
    <row r="15">
      <c r="A15" s="12" t="inlineStr">
        <is>
          <t>Test Configuration</t>
        </is>
      </c>
      <c r="B15" s="13" t="inlineStr">
        <is>
          <t>Test Type is valid</t>
        </is>
      </c>
      <c r="C15" s="13" t="inlineStr">
        <is>
          <t>Begin Test clicked</t>
        </is>
      </c>
      <c r="D15" s="13" t="inlineStr">
        <is>
          <t>Test Type is EM, Shear, Manual, or Cyclical.</t>
        </is>
      </c>
      <c r="E15" s="13" t="inlineStr">
        <is>
          <t>Block Begin Test if invalid.</t>
        </is>
      </c>
      <c r="F15" s="14" t="inlineStr">
        <is>
          <t>Must</t>
        </is>
      </c>
      <c r="G15" s="14" t="inlineStr">
        <is>
          <t>Implemented</t>
        </is>
      </c>
      <c r="H15" s="13" t="inlineStr"/>
      <c r="I15" s="14" t="inlineStr"/>
      <c r="J15" s="13" t="inlineStr"/>
    </row>
    <row r="16">
      <c r="A16" s="9" t="inlineStr">
        <is>
          <t>Test Configuration</t>
        </is>
      </c>
      <c r="B16" s="10" t="inlineStr">
        <is>
          <t>Surface area is entered</t>
        </is>
      </c>
      <c r="C16" s="10" t="inlineStr">
        <is>
          <t>Begin Test clicked</t>
        </is>
      </c>
      <c r="D16" s="10" t="inlineStr">
        <is>
          <t>Surface Area field is not blank.</t>
        </is>
      </c>
      <c r="E16" s="10" t="inlineStr">
        <is>
          <t>Block Begin Test and show message.</t>
        </is>
      </c>
      <c r="F16" s="11" t="inlineStr">
        <is>
          <t>Must</t>
        </is>
      </c>
      <c r="G16" s="11" t="inlineStr">
        <is>
          <t>Implemented</t>
        </is>
      </c>
      <c r="H16" s="10" t="inlineStr"/>
      <c r="I16" s="11" t="inlineStr"/>
      <c r="J16" s="10" t="inlineStr"/>
    </row>
    <row r="17">
      <c r="A17" s="12" t="inlineStr">
        <is>
          <t>Test Configuration</t>
        </is>
      </c>
      <c r="B17" s="13" t="inlineStr">
        <is>
          <t>Zaber COM Port is entered for applicable tests</t>
        </is>
      </c>
      <c r="C17" s="13" t="inlineStr">
        <is>
          <t>EM, Manual, or Cyclical Begin Test</t>
        </is>
      </c>
      <c r="D17" s="13" t="inlineStr">
        <is>
          <t>COM3 or COM7 selected.</t>
        </is>
      </c>
      <c r="E17" s="13" t="inlineStr">
        <is>
          <t>Block Begin Test and show message.</t>
        </is>
      </c>
      <c r="F17" s="14" t="inlineStr">
        <is>
          <t>Must</t>
        </is>
      </c>
      <c r="G17" s="14" t="inlineStr">
        <is>
          <t>Implemented</t>
        </is>
      </c>
      <c r="H17" s="13" t="inlineStr"/>
      <c r="I17" s="14" t="inlineStr"/>
      <c r="J17" s="13" t="inlineStr"/>
    </row>
    <row r="18">
      <c r="A18" s="9" t="inlineStr">
        <is>
          <t>Test Configuration</t>
        </is>
      </c>
      <c r="B18" s="10" t="inlineStr">
        <is>
          <t>EM Number of Runs default</t>
        </is>
      </c>
      <c r="C18" s="10" t="inlineStr">
        <is>
          <t>EM selected</t>
        </is>
      </c>
      <c r="D18" s="10" t="inlineStr">
        <is>
          <t>Number of Runs is enabled and defaults to 3.</t>
        </is>
      </c>
      <c r="E18" s="10" t="inlineStr">
        <is>
          <t>Auto-correct field state/value.</t>
        </is>
      </c>
      <c r="F18" s="11" t="inlineStr">
        <is>
          <t>Must</t>
        </is>
      </c>
      <c r="G18" s="11" t="inlineStr">
        <is>
          <t>Implemented</t>
        </is>
      </c>
      <c r="H18" s="10" t="inlineStr"/>
      <c r="I18" s="11" t="inlineStr"/>
      <c r="J18" s="10" t="inlineStr"/>
    </row>
    <row r="19">
      <c r="A19" s="12" t="inlineStr">
        <is>
          <t>Test Configuration</t>
        </is>
      </c>
      <c r="B19" s="13" t="inlineStr">
        <is>
          <t>Non-EM Number of Runs state</t>
        </is>
      </c>
      <c r="C19" s="13" t="inlineStr">
        <is>
          <t>Shear, Manual, or Cyclical selected</t>
        </is>
      </c>
      <c r="D19" s="13" t="inlineStr">
        <is>
          <t>Number of Runs is disabled and blank.</t>
        </is>
      </c>
      <c r="E19" s="13" t="inlineStr">
        <is>
          <t>Auto-correct field state/value.</t>
        </is>
      </c>
      <c r="F19" s="14" t="inlineStr">
        <is>
          <t>Must</t>
        </is>
      </c>
      <c r="G19" s="14" t="inlineStr">
        <is>
          <t>Implemented</t>
        </is>
      </c>
      <c r="H19" s="13" t="inlineStr"/>
      <c r="I19" s="14" t="inlineStr"/>
      <c r="J19" s="13" t="inlineStr"/>
    </row>
    <row r="20">
      <c r="A20" s="9" t="inlineStr">
        <is>
          <t>Test Configuration</t>
        </is>
      </c>
      <c r="B20" s="10" t="inlineStr">
        <is>
          <t>Shear surface area default</t>
        </is>
      </c>
      <c r="C20" s="10" t="inlineStr">
        <is>
          <t>Shear selected</t>
        </is>
      </c>
      <c r="D20" s="10" t="inlineStr">
        <is>
          <t>Surface Area defaults to 50.27 mm².</t>
        </is>
      </c>
      <c r="E20" s="10" t="inlineStr">
        <is>
          <t>Auto-update if switching into Shear.</t>
        </is>
      </c>
      <c r="F20" s="11" t="inlineStr">
        <is>
          <t>Must</t>
        </is>
      </c>
      <c r="G20" s="11" t="inlineStr">
        <is>
          <t>Implemented</t>
        </is>
      </c>
      <c r="H20" s="10" t="inlineStr"/>
      <c r="I20" s="11" t="inlineStr"/>
      <c r="J20" s="10" t="inlineStr"/>
    </row>
    <row r="21">
      <c r="A21" s="12" t="inlineStr">
        <is>
          <t>Test Configuration</t>
        </is>
      </c>
      <c r="B21" s="13" t="inlineStr">
        <is>
          <t>Standard surface area default</t>
        </is>
      </c>
      <c r="C21" s="13" t="inlineStr">
        <is>
          <t>Non-Shear selected after Shear default</t>
        </is>
      </c>
      <c r="D21" s="13" t="inlineStr">
        <is>
          <t>Surface Area returns to 325 mm² when appropriate.</t>
        </is>
      </c>
      <c r="E21" s="13" t="inlineStr">
        <is>
          <t>Auto-update if leaving Shear.</t>
        </is>
      </c>
      <c r="F21" s="14" t="inlineStr">
        <is>
          <t>Must</t>
        </is>
      </c>
      <c r="G21" s="14" t="inlineStr">
        <is>
          <t>Implemented</t>
        </is>
      </c>
      <c r="H21" s="13" t="inlineStr"/>
      <c r="I21" s="14" t="inlineStr"/>
      <c r="J21" s="13" t="inlineStr"/>
    </row>
    <row r="22">
      <c r="A22" s="9" t="inlineStr">
        <is>
          <t>Test Configuration</t>
        </is>
      </c>
      <c r="B22" s="10" t="inlineStr">
        <is>
          <t>Test folder path preview updates live</t>
        </is>
      </c>
      <c r="C22" s="10" t="inlineStr">
        <is>
          <t>Sensor/test config fields change</t>
        </is>
      </c>
      <c r="D22" s="10" t="inlineStr">
        <is>
          <t>Info tag shows the current computed folder path or existing-folder awareness.</t>
        </is>
      </c>
      <c r="E22" s="10" t="inlineStr">
        <is>
          <t>Refresh computed path and clear stale resolved choices.</t>
        </is>
      </c>
      <c r="F22" s="11" t="inlineStr">
        <is>
          <t>Must</t>
        </is>
      </c>
      <c r="G22" s="11" t="inlineStr">
        <is>
          <t>Implemented</t>
        </is>
      </c>
      <c r="H22" s="10" t="inlineStr"/>
      <c r="I22" s="11" t="inlineStr"/>
      <c r="J22" s="10" t="inlineStr"/>
    </row>
    <row r="23">
      <c r="A23" s="12" t="inlineStr">
        <is>
          <t>Folder / Existing Tests</t>
        </is>
      </c>
      <c r="B23" s="13" t="inlineStr">
        <is>
          <t>Computed folder structure</t>
        </is>
      </c>
      <c r="C23" s="13" t="inlineStr">
        <is>
          <t>Config changes and Begin Test</t>
        </is>
      </c>
      <c r="D23" s="13" t="inlineStr">
        <is>
          <t>Path follows Save Folder / Sensor ID / MM DD YY_surfaceArea_testType.</t>
        </is>
      </c>
      <c r="E23" s="13" t="inlineStr">
        <is>
          <t>Show current intended path in the info tag.</t>
        </is>
      </c>
      <c r="F23" s="14" t="inlineStr">
        <is>
          <t>Must</t>
        </is>
      </c>
      <c r="G23" s="14" t="inlineStr">
        <is>
          <t>Implemented</t>
        </is>
      </c>
      <c r="H23" s="13" t="inlineStr"/>
      <c r="I23" s="14" t="inlineStr"/>
      <c r="J23" s="13" t="inlineStr"/>
    </row>
    <row r="24">
      <c r="A24" s="9" t="inlineStr">
        <is>
          <t>Folder / Existing Tests</t>
        </is>
      </c>
      <c r="B24" s="10" t="inlineStr">
        <is>
          <t>Quiet existing-folder awareness</t>
        </is>
      </c>
      <c r="C24" s="10" t="inlineStr">
        <is>
          <t>While typing test configuration</t>
        </is>
      </c>
      <c r="D24" s="10" t="inlineStr">
        <is>
          <t>GUI quietly detects whether the computed test folder exists.</t>
        </is>
      </c>
      <c r="E24" s="10" t="inlineStr">
        <is>
          <t>Do not interrupt typing; only update info tag.</t>
        </is>
      </c>
      <c r="F24" s="11" t="inlineStr">
        <is>
          <t>Should</t>
        </is>
      </c>
      <c r="G24" s="11" t="inlineStr">
        <is>
          <t>Implemented</t>
        </is>
      </c>
      <c r="H24" s="10" t="inlineStr"/>
      <c r="I24" s="11" t="inlineStr"/>
      <c r="J24" s="10" t="inlineStr"/>
    </row>
    <row r="25">
      <c r="A25" s="12" t="inlineStr">
        <is>
          <t>Folder / Existing Tests</t>
        </is>
      </c>
      <c r="B25" s="13" t="inlineStr">
        <is>
          <t>Hard existing-folder block</t>
        </is>
      </c>
      <c r="C25" s="13" t="inlineStr">
        <is>
          <t>Begin Test clicked</t>
        </is>
      </c>
      <c r="D25" s="13" t="inlineStr">
        <is>
          <t>Current computed folder is checked before opening a test window.</t>
        </is>
      </c>
      <c r="E25" s="13" t="inlineStr">
        <is>
          <t>If it exists, show Existing Test Found options.</t>
        </is>
      </c>
      <c r="F25" s="14" t="inlineStr">
        <is>
          <t>Must</t>
        </is>
      </c>
      <c r="G25" s="14" t="inlineStr">
        <is>
          <t>Implemented</t>
        </is>
      </c>
      <c r="H25" s="13" t="inlineStr"/>
      <c r="I25" s="14" t="inlineStr"/>
      <c r="J25" s="13" t="inlineStr"/>
    </row>
    <row r="26">
      <c r="A26" s="9" t="inlineStr">
        <is>
          <t>Folder / Existing Tests</t>
        </is>
      </c>
      <c r="B26" s="10" t="inlineStr">
        <is>
          <t>Create New Versioned Test Folder</t>
        </is>
      </c>
      <c r="C26" s="10" t="inlineStr">
        <is>
          <t>Existing Test Found popup</t>
        </is>
      </c>
      <c r="D26" s="10" t="inlineStr">
        <is>
          <t>New folder uses next suffix _1, _2, _3 without stacking suffixes.</t>
        </is>
      </c>
      <c r="E26" s="10" t="inlineStr">
        <is>
          <t>Use next available sibling version.</t>
        </is>
      </c>
      <c r="F26" s="11" t="inlineStr">
        <is>
          <t>Must</t>
        </is>
      </c>
      <c r="G26" s="11" t="inlineStr">
        <is>
          <t>Implemented</t>
        </is>
      </c>
      <c r="H26" s="10" t="inlineStr"/>
      <c r="I26" s="11" t="inlineStr"/>
      <c r="J26" s="10" t="inlineStr"/>
    </row>
    <row r="27">
      <c r="A27" s="12" t="inlineStr">
        <is>
          <t>Folder / Existing Tests</t>
        </is>
      </c>
      <c r="B27" s="13" t="inlineStr">
        <is>
          <t>Redo Specific Run availability</t>
        </is>
      </c>
      <c r="C27" s="13" t="inlineStr">
        <is>
          <t>Existing Test Found popup</t>
        </is>
      </c>
      <c r="D27" s="13" t="inlineStr">
        <is>
          <t>Redo is enabled only for EM folders.</t>
        </is>
      </c>
      <c r="E27" s="13" t="inlineStr">
        <is>
          <t>Disable Redo for Shear and Manual.</t>
        </is>
      </c>
      <c r="F27" s="14" t="inlineStr">
        <is>
          <t>Must</t>
        </is>
      </c>
      <c r="G27" s="14" t="inlineStr">
        <is>
          <t>Implemented</t>
        </is>
      </c>
      <c r="H27" s="13" t="inlineStr"/>
      <c r="I27" s="14" t="inlineStr"/>
      <c r="J27" s="13" t="inlineStr"/>
    </row>
    <row r="28">
      <c r="A28" s="9" t="inlineStr">
        <is>
          <t>Folder / Existing Tests</t>
        </is>
      </c>
      <c r="B28" s="10" t="inlineStr">
        <is>
          <t>Redo Specific Run existence check</t>
        </is>
      </c>
      <c r="C28" s="10" t="inlineStr">
        <is>
          <t>Begin Test after Redo selected</t>
        </is>
      </c>
      <c r="D28" s="10" t="inlineStr">
        <is>
          <t>Selected run number exists in saved run files.</t>
        </is>
      </c>
      <c r="E28" s="10" t="inlineStr">
        <is>
          <t>Block Begin Test and show available runs.</t>
        </is>
      </c>
      <c r="F28" s="11" t="inlineStr">
        <is>
          <t>Must</t>
        </is>
      </c>
      <c r="G28" s="11" t="inlineStr">
        <is>
          <t>Implemented</t>
        </is>
      </c>
      <c r="H28" s="10" t="inlineStr"/>
      <c r="I28" s="11" t="inlineStr"/>
      <c r="J28" s="10" t="inlineStr"/>
    </row>
    <row r="29">
      <c r="A29" s="12" t="inlineStr">
        <is>
          <t>Folder / Existing Tests</t>
        </is>
      </c>
      <c r="B29" s="13" t="inlineStr">
        <is>
          <t>Overwrite confirmation</t>
        </is>
      </c>
      <c r="C29" s="13" t="inlineStr">
        <is>
          <t>Overwrite Existing Test selected</t>
        </is>
      </c>
      <c r="D29" s="13" t="inlineStr">
        <is>
          <t>User confirms overwrite in second confirmation.</t>
        </is>
      </c>
      <c r="E29" s="13" t="inlineStr">
        <is>
          <t>Cancel overwrite if user declines.</t>
        </is>
      </c>
      <c r="F29" s="14" t="inlineStr">
        <is>
          <t>Must</t>
        </is>
      </c>
      <c r="G29" s="14" t="inlineStr">
        <is>
          <t>Implemented</t>
        </is>
      </c>
      <c r="H29" s="13" t="inlineStr"/>
      <c r="I29" s="14" t="inlineStr"/>
      <c r="J29" s="13" t="inlineStr"/>
    </row>
    <row r="30">
      <c r="A30" s="9" t="inlineStr">
        <is>
          <t>Folder / Existing Tests</t>
        </is>
      </c>
      <c r="B30" s="10" t="inlineStr">
        <is>
          <t>Cancel existing workflow</t>
        </is>
      </c>
      <c r="C30" s="10" t="inlineStr">
        <is>
          <t>Cancel selected in conflict popup</t>
        </is>
      </c>
      <c r="D30" s="10" t="inlineStr">
        <is>
          <t>Test configuration closes/locks out of the interrupted workflow.</t>
        </is>
      </c>
      <c r="E30" s="10" t="inlineStr">
        <is>
          <t>Return to setup without starting a test.</t>
        </is>
      </c>
      <c r="F30" s="11" t="inlineStr">
        <is>
          <t>Must</t>
        </is>
      </c>
      <c r="G30" s="11" t="inlineStr">
        <is>
          <t>Implemented</t>
        </is>
      </c>
      <c r="H30" s="10" t="inlineStr"/>
      <c r="I30" s="11" t="inlineStr"/>
      <c r="J30" s="10" t="inlineStr"/>
    </row>
    <row r="31">
      <c r="A31" s="12" t="inlineStr">
        <is>
          <t>Folder / Existing Tests</t>
        </is>
      </c>
      <c r="B31" s="13" t="inlineStr">
        <is>
          <t>Cyclical folder conflict skip</t>
        </is>
      </c>
      <c r="C31" s="13" t="inlineStr">
        <is>
          <t>Cyclical Begin Test</t>
        </is>
      </c>
      <c r="D31" s="13" t="inlineStr">
        <is>
          <t>No existing-folder conflict popup appears.</t>
        </is>
      </c>
      <c r="E31" s="13" t="inlineStr">
        <is>
          <t>Open Cyclical window directly.</t>
        </is>
      </c>
      <c r="F31" s="14" t="inlineStr">
        <is>
          <t>Must</t>
        </is>
      </c>
      <c r="G31" s="14" t="inlineStr">
        <is>
          <t>Implemented</t>
        </is>
      </c>
      <c r="H31" s="13" t="inlineStr"/>
      <c r="I31" s="14" t="inlineStr"/>
      <c r="J31" s="13" t="inlineStr"/>
    </row>
    <row r="32">
      <c r="A32" s="9" t="inlineStr">
        <is>
          <t>Folder / Existing Tests</t>
        </is>
      </c>
      <c r="B32" s="10" t="inlineStr">
        <is>
          <t>No creation before analysis</t>
        </is>
      </c>
      <c r="C32" s="10" t="inlineStr">
        <is>
          <t>Verify and Begin Test</t>
        </is>
      </c>
      <c r="D32" s="10" t="inlineStr">
        <is>
          <t>No folders/files are created before Perform Analysis.</t>
        </is>
      </c>
      <c r="E32" s="10" t="inlineStr">
        <is>
          <t>Defer all creation/saving to analysis workflow.</t>
        </is>
      </c>
      <c r="F32" s="11" t="inlineStr">
        <is>
          <t>Must</t>
        </is>
      </c>
      <c r="G32" s="11" t="inlineStr">
        <is>
          <t>Implemented</t>
        </is>
      </c>
      <c r="H32" s="10" t="inlineStr"/>
      <c r="I32" s="11" t="inlineStr"/>
      <c r="J32" s="10" t="inlineStr"/>
    </row>
    <row r="33">
      <c r="A33" s="12" t="inlineStr">
        <is>
          <t>EM Test</t>
        </is>
      </c>
      <c r="B33" s="13" t="inlineStr">
        <is>
          <t>Start begins EM simulation</t>
        </is>
      </c>
      <c r="C33" s="13" t="inlineStr">
        <is>
          <t>Start clicked</t>
        </is>
      </c>
      <c r="D33" s="13" t="inlineStr">
        <is>
          <t>Run starts and status changes to RUNNING.</t>
        </is>
      </c>
      <c r="E33" s="13" t="inlineStr">
        <is>
          <t>Keep actuator motion disabled if initialization fails in future hardware mode.</t>
        </is>
      </c>
      <c r="F33" s="14" t="inlineStr">
        <is>
          <t>Must</t>
        </is>
      </c>
      <c r="G33" s="14" t="inlineStr">
        <is>
          <t>Implemented</t>
        </is>
      </c>
      <c r="H33" s="13" t="inlineStr"/>
      <c r="I33" s="14" t="inlineStr"/>
      <c r="J33" s="13" t="inlineStr"/>
    </row>
    <row r="34">
      <c r="A34" s="9" t="inlineStr">
        <is>
          <t>EM Test</t>
        </is>
      </c>
      <c r="B34" s="10" t="inlineStr">
        <is>
          <t>Exit disabled while running</t>
        </is>
      </c>
      <c r="C34" s="10" t="inlineStr">
        <is>
          <t>EM running</t>
        </is>
      </c>
      <c r="D34" s="10" t="inlineStr">
        <is>
          <t>Close button is disabled and Escape close is blocked.</t>
        </is>
      </c>
      <c r="E34" s="10" t="inlineStr">
        <is>
          <t>Prevent window from closing during active run.</t>
        </is>
      </c>
      <c r="F34" s="11" t="inlineStr">
        <is>
          <t>Must</t>
        </is>
      </c>
      <c r="G34" s="11" t="inlineStr">
        <is>
          <t>Implemented</t>
        </is>
      </c>
      <c r="H34" s="10" t="inlineStr"/>
      <c r="I34" s="11" t="inlineStr"/>
      <c r="J34" s="10" t="inlineStr"/>
    </row>
    <row r="35">
      <c r="A35" s="12" t="inlineStr">
        <is>
          <t>EM Test</t>
        </is>
      </c>
      <c r="B35" s="13" t="inlineStr">
        <is>
          <t>Pause return-home lockout</t>
        </is>
      </c>
      <c r="C35" s="13" t="inlineStr">
        <is>
          <t>Pause clicked</t>
        </is>
      </c>
      <c r="D35" s="13" t="inlineStr">
        <is>
          <t>Controls lock for 5 seconds while actuator stops/returns home.</t>
        </is>
      </c>
      <c r="E35" s="13" t="inlineStr">
        <is>
          <t>Keep interaction disabled until lockout ends.</t>
        </is>
      </c>
      <c r="F35" s="14" t="inlineStr">
        <is>
          <t>Must</t>
        </is>
      </c>
      <c r="G35" s="14" t="inlineStr">
        <is>
          <t>Implemented</t>
        </is>
      </c>
      <c r="H35" s="13" t="inlineStr"/>
      <c r="I35" s="14" t="inlineStr"/>
      <c r="J35" s="13" t="inlineStr"/>
    </row>
    <row r="36">
      <c r="A36" s="9" t="inlineStr">
        <is>
          <t>EM Test</t>
        </is>
      </c>
      <c r="B36" s="10" t="inlineStr">
        <is>
          <t>Run duration simulation</t>
        </is>
      </c>
      <c r="C36" s="10" t="inlineStr">
        <is>
          <t>During run</t>
        </is>
      </c>
      <c r="D36" s="10" t="inlineStr">
        <is>
          <t>Run stops after 5 seconds in preview mode.</t>
        </is>
      </c>
      <c r="E36" s="10" t="inlineStr">
        <is>
          <t>Mark run incomplete only if paused.</t>
        </is>
      </c>
      <c r="F36" s="11" t="inlineStr">
        <is>
          <t>Must</t>
        </is>
      </c>
      <c r="G36" s="11" t="inlineStr">
        <is>
          <t>Implemented</t>
        </is>
      </c>
      <c r="H36" s="10" t="inlineStr"/>
      <c r="I36" s="11" t="inlineStr"/>
      <c r="J36" s="10" t="inlineStr"/>
    </row>
    <row r="37">
      <c r="A37" s="12" t="inlineStr">
        <is>
          <t>EM Test</t>
        </is>
      </c>
      <c r="B37" s="13" t="inlineStr">
        <is>
          <t>Between-run pause</t>
        </is>
      </c>
      <c r="C37" s="13" t="inlineStr">
        <is>
          <t>After a run completes and more runs remain</t>
        </is>
      </c>
      <c r="D37" s="13" t="inlineStr">
        <is>
          <t>Status shows BETWEEN_RUNS_PAUSED and Start is enabled for next run.</t>
        </is>
      </c>
      <c r="E37" s="13" t="inlineStr">
        <is>
          <t>Do not auto-start next run.</t>
        </is>
      </c>
      <c r="F37" s="14" t="inlineStr">
        <is>
          <t>Must</t>
        </is>
      </c>
      <c r="G37" s="14" t="inlineStr">
        <is>
          <t>Implemented</t>
        </is>
      </c>
      <c r="H37" s="13" t="inlineStr"/>
      <c r="I37" s="14" t="inlineStr"/>
      <c r="J37" s="13" t="inlineStr"/>
    </row>
    <row r="38">
      <c r="A38" s="9" t="inlineStr">
        <is>
          <t>EM Test</t>
        </is>
      </c>
      <c r="B38" s="10" t="inlineStr">
        <is>
          <t>All runs complete</t>
        </is>
      </c>
      <c r="C38" s="10" t="inlineStr">
        <is>
          <t>Final run complete</t>
        </is>
      </c>
      <c r="D38" s="10" t="inlineStr">
        <is>
          <t>Perform Analysis is enabled and Start remains disabled.</t>
        </is>
      </c>
      <c r="E38" s="10" t="inlineStr">
        <is>
          <t>Keep analysis disabled until all required runs complete.</t>
        </is>
      </c>
      <c r="F38" s="11" t="inlineStr">
        <is>
          <t>Must</t>
        </is>
      </c>
      <c r="G38" s="11" t="inlineStr">
        <is>
          <t>Implemented</t>
        </is>
      </c>
      <c r="H38" s="10" t="inlineStr"/>
      <c r="I38" s="11" t="inlineStr"/>
      <c r="J38" s="10" t="inlineStr"/>
    </row>
    <row r="39">
      <c r="A39" s="12" t="inlineStr">
        <is>
          <t>EM Test</t>
        </is>
      </c>
      <c r="B39" s="13" t="inlineStr">
        <is>
          <t>Redo workflow reset</t>
        </is>
      </c>
      <c r="C39" s="13" t="inlineStr">
        <is>
          <t>Redo run completes</t>
        </is>
      </c>
      <c r="D39" s="13" t="inlineStr">
        <is>
          <t>Test Type unlocks, EM selected, Number of Runs = 3, Run to Redo blank/disabled.</t>
        </is>
      </c>
      <c r="E39" s="13" t="inlineStr">
        <is>
          <t>Clear redo lock/action state.</t>
        </is>
      </c>
      <c r="F39" s="14" t="inlineStr">
        <is>
          <t>Must</t>
        </is>
      </c>
      <c r="G39" s="14" t="inlineStr">
        <is>
          <t>Implemented</t>
        </is>
      </c>
      <c r="H39" s="13" t="inlineStr"/>
      <c r="I39" s="14" t="inlineStr"/>
      <c r="J39" s="13" t="inlineStr"/>
    </row>
    <row r="40">
      <c r="A40" s="9" t="inlineStr">
        <is>
          <t>EM Test</t>
        </is>
      </c>
      <c r="B40" s="10" t="inlineStr">
        <is>
          <t>Status table format</t>
        </is>
      </c>
      <c r="C40" s="10" t="inlineStr">
        <is>
          <t>During test</t>
        </is>
      </c>
      <c r="D40" s="10" t="inlineStr">
        <is>
          <t>Rows append as Run Number | Time (s) | Force (N).</t>
        </is>
      </c>
      <c r="E40" s="10" t="inlineStr">
        <is>
          <t>Keep system states in chronological log.</t>
        </is>
      </c>
      <c r="F40" s="11" t="inlineStr">
        <is>
          <t>Must</t>
        </is>
      </c>
      <c r="G40" s="11" t="inlineStr">
        <is>
          <t>Implemented</t>
        </is>
      </c>
      <c r="H40" s="10" t="inlineStr"/>
      <c r="I40" s="11" t="inlineStr"/>
      <c r="J40" s="10" t="inlineStr"/>
    </row>
    <row r="41">
      <c r="A41" s="12" t="inlineStr">
        <is>
          <t>EM Test</t>
        </is>
      </c>
      <c r="B41" s="13" t="inlineStr">
        <is>
          <t>Force graph display</t>
        </is>
      </c>
      <c r="C41" s="13" t="inlineStr">
        <is>
          <t>During test</t>
        </is>
      </c>
      <c r="D41" s="13" t="inlineStr">
        <is>
          <t>Live Force vs Time graph updates with table readings.</t>
        </is>
      </c>
      <c r="E41" s="13" t="inlineStr">
        <is>
          <t>Reset graph appropriately between runs.</t>
        </is>
      </c>
      <c r="F41" s="14" t="inlineStr">
        <is>
          <t>Must</t>
        </is>
      </c>
      <c r="G41" s="14" t="inlineStr">
        <is>
          <t>Implemented</t>
        </is>
      </c>
      <c r="H41" s="13" t="inlineStr"/>
      <c r="I41" s="14" t="inlineStr"/>
      <c r="J41" s="13" t="inlineStr"/>
    </row>
    <row r="42">
      <c r="A42" s="9" t="inlineStr">
        <is>
          <t>Shear Test</t>
        </is>
      </c>
      <c r="B42" s="10" t="inlineStr">
        <is>
          <t>Start begins shear graph</t>
        </is>
      </c>
      <c r="C42" s="10" t="inlineStr">
        <is>
          <t>Start clicked</t>
        </is>
      </c>
      <c r="D42" s="10" t="inlineStr">
        <is>
          <t>Live graph starts updating with force over time.</t>
        </is>
      </c>
      <c r="E42" s="10" t="inlineStr">
        <is>
          <t>Start disabled while running.</t>
        </is>
      </c>
      <c r="F42" s="11" t="inlineStr">
        <is>
          <t>Must</t>
        </is>
      </c>
      <c r="G42" s="11" t="inlineStr">
        <is>
          <t>Implemented</t>
        </is>
      </c>
      <c r="H42" s="10" t="inlineStr"/>
      <c r="I42" s="11" t="inlineStr"/>
      <c r="J42" s="10" t="inlineStr"/>
    </row>
    <row r="43">
      <c r="A43" s="12" t="inlineStr">
        <is>
          <t>Shear Test</t>
        </is>
      </c>
      <c r="B43" s="13" t="inlineStr">
        <is>
          <t>Exit disabled while running</t>
        </is>
      </c>
      <c r="C43" s="13" t="inlineStr">
        <is>
          <t>Shear running</t>
        </is>
      </c>
      <c r="D43" s="13" t="inlineStr">
        <is>
          <t>Close button is disabled and Escape close is blocked.</t>
        </is>
      </c>
      <c r="E43" s="13" t="inlineStr">
        <is>
          <t>Prevent window from closing during active run.</t>
        </is>
      </c>
      <c r="F43" s="14" t="inlineStr">
        <is>
          <t>Must</t>
        </is>
      </c>
      <c r="G43" s="14" t="inlineStr">
        <is>
          <t>Implemented</t>
        </is>
      </c>
      <c r="H43" s="13" t="inlineStr"/>
      <c r="I43" s="14" t="inlineStr"/>
      <c r="J43" s="13" t="inlineStr"/>
    </row>
    <row r="44">
      <c r="A44" s="9" t="inlineStr">
        <is>
          <t>Shear Test</t>
        </is>
      </c>
      <c r="B44" s="10" t="inlineStr">
        <is>
          <t>Pause return-home lockout</t>
        </is>
      </c>
      <c r="C44" s="10" t="inlineStr">
        <is>
          <t>Pause clicked</t>
        </is>
      </c>
      <c r="D44" s="10" t="inlineStr">
        <is>
          <t>Graph resets, latest data is preserved for analysis, controls lock for 5 seconds.</t>
        </is>
      </c>
      <c r="E44" s="10" t="inlineStr">
        <is>
          <t>Unlock controls after simulated return home.</t>
        </is>
      </c>
      <c r="F44" s="11" t="inlineStr">
        <is>
          <t>Must</t>
        </is>
      </c>
      <c r="G44" s="11" t="inlineStr">
        <is>
          <t>Implemented</t>
        </is>
      </c>
      <c r="H44" s="10" t="inlineStr"/>
      <c r="I44" s="11" t="inlineStr"/>
      <c r="J44" s="10" t="inlineStr"/>
    </row>
    <row r="45">
      <c r="A45" s="12" t="inlineStr">
        <is>
          <t>Shear Test</t>
        </is>
      </c>
      <c r="B45" s="13" t="inlineStr">
        <is>
          <t>Analysis enabled after data</t>
        </is>
      </c>
      <c r="C45" s="13" t="inlineStr">
        <is>
          <t>Data captured</t>
        </is>
      </c>
      <c r="D45" s="13" t="inlineStr">
        <is>
          <t>Perform Analysis is enabled once there is data.</t>
        </is>
      </c>
      <c r="E45" s="13" t="inlineStr">
        <is>
          <t>Keep disabled when no data exists.</t>
        </is>
      </c>
      <c r="F45" s="14" t="inlineStr">
        <is>
          <t>Must</t>
        </is>
      </c>
      <c r="G45" s="14" t="inlineStr">
        <is>
          <t>Implemented</t>
        </is>
      </c>
      <c r="H45" s="13" t="inlineStr"/>
      <c r="I45" s="14" t="inlineStr"/>
      <c r="J45" s="13" t="inlineStr"/>
    </row>
    <row r="46">
      <c r="A46" s="9" t="inlineStr">
        <is>
          <t>Shear Test</t>
        </is>
      </c>
      <c r="B46" s="10" t="inlineStr">
        <is>
          <t>Perform Analysis acts as stop</t>
        </is>
      </c>
      <c r="C46" s="10" t="inlineStr">
        <is>
          <t>Perform Analysis clicked</t>
        </is>
      </c>
      <c r="D46" s="10" t="inlineStr">
        <is>
          <t>Live plotting stops, latest data is preserved, exit is enabled.</t>
        </is>
      </c>
      <c r="E46" s="10" t="inlineStr">
        <is>
          <t>Use the newest/latest run for analysis.</t>
        </is>
      </c>
      <c r="F46" s="11" t="inlineStr">
        <is>
          <t>Must</t>
        </is>
      </c>
      <c r="G46" s="11" t="inlineStr">
        <is>
          <t>Implemented</t>
        </is>
      </c>
      <c r="H46" s="10" t="inlineStr"/>
      <c r="I46" s="11" t="inlineStr"/>
      <c r="J46" s="10" t="inlineStr"/>
    </row>
    <row r="47">
      <c r="A47" s="12" t="inlineStr">
        <is>
          <t>Shear Test</t>
        </is>
      </c>
      <c r="B47" s="13" t="inlineStr">
        <is>
          <t>Restart after pause clears old live graph</t>
        </is>
      </c>
      <c r="C47" s="13" t="inlineStr">
        <is>
          <t>Start clicked after pause</t>
        </is>
      </c>
      <c r="D47" s="13" t="inlineStr">
        <is>
          <t>Previous paused graph is discarded for new run.</t>
        </is>
      </c>
      <c r="E47" s="13" t="inlineStr">
        <is>
          <t>Latest run becomes analysis source.</t>
        </is>
      </c>
      <c r="F47" s="14" t="inlineStr">
        <is>
          <t>Must</t>
        </is>
      </c>
      <c r="G47" s="14" t="inlineStr">
        <is>
          <t>Implemented</t>
        </is>
      </c>
      <c r="H47" s="13" t="inlineStr"/>
      <c r="I47" s="14" t="inlineStr"/>
      <c r="J47" s="13" t="inlineStr"/>
    </row>
    <row r="48">
      <c r="A48" s="9" t="inlineStr">
        <is>
          <t>Shear Test</t>
        </is>
      </c>
      <c r="B48" s="10" t="inlineStr">
        <is>
          <t>Y-axis defaults</t>
        </is>
      </c>
      <c r="C48" s="10" t="inlineStr">
        <is>
          <t>Shear window opens</t>
        </is>
      </c>
      <c r="D48" s="10" t="inlineStr">
        <is>
          <t>Y-axis min defaults to 0 and max defaults to 5 N.</t>
        </is>
      </c>
      <c r="E48" s="10" t="inlineStr">
        <is>
          <t>Auto-set defaults.</t>
        </is>
      </c>
      <c r="F48" s="11" t="inlineStr">
        <is>
          <t>Must</t>
        </is>
      </c>
      <c r="G48" s="11" t="inlineStr">
        <is>
          <t>Implemented</t>
        </is>
      </c>
      <c r="H48" s="10" t="inlineStr"/>
      <c r="I48" s="11" t="inlineStr"/>
      <c r="J48" s="10" t="inlineStr"/>
    </row>
    <row r="49">
      <c r="A49" s="12" t="inlineStr">
        <is>
          <t>Shear Test</t>
        </is>
      </c>
      <c r="B49" s="13" t="inlineStr">
        <is>
          <t>Simulated force range</t>
        </is>
      </c>
      <c r="C49" s="13" t="inlineStr">
        <is>
          <t>During preview run</t>
        </is>
      </c>
      <c r="D49" s="13" t="inlineStr">
        <is>
          <t>Force rises to around 1.5 N.</t>
        </is>
      </c>
      <c r="E49" s="13" t="inlineStr">
        <is>
          <t>Keep preview trend realistic.</t>
        </is>
      </c>
      <c r="F49" s="14" t="inlineStr">
        <is>
          <t>Must</t>
        </is>
      </c>
      <c r="G49" s="14" t="inlineStr">
        <is>
          <t>Implemented</t>
        </is>
      </c>
      <c r="H49" s="13" t="inlineStr"/>
      <c r="I49" s="14" t="inlineStr"/>
      <c r="J49" s="13" t="inlineStr"/>
    </row>
    <row r="50">
      <c r="A50" s="9" t="inlineStr">
        <is>
          <t>Shear Test</t>
        </is>
      </c>
      <c r="B50" s="10" t="inlineStr">
        <is>
          <t>Graph controls</t>
        </is>
      </c>
      <c r="C50" s="10" t="inlineStr">
        <is>
          <t>Settings changed</t>
        </is>
      </c>
      <c r="D50" s="10" t="inlineStr">
        <is>
          <t>Last Seconds, Y-axis, markers, and cumulative time update graph display.</t>
        </is>
      </c>
      <c r="E50" s="10" t="inlineStr">
        <is>
          <t>Redraw graph with new settings.</t>
        </is>
      </c>
      <c r="F50" s="11" t="inlineStr">
        <is>
          <t>Must</t>
        </is>
      </c>
      <c r="G50" s="11" t="inlineStr">
        <is>
          <t>Implemented</t>
        </is>
      </c>
      <c r="H50" s="10" t="inlineStr"/>
      <c r="I50" s="11" t="inlineStr"/>
      <c r="J50" s="10" t="inlineStr"/>
    </row>
    <row r="51">
      <c r="A51" s="12" t="inlineStr">
        <is>
          <t>Manual Test</t>
        </is>
      </c>
      <c r="B51" s="13" t="inlineStr">
        <is>
          <t>Control mode toggle</t>
        </is>
      </c>
      <c r="C51" s="13" t="inlineStr">
        <is>
          <t>Distance/Force selected</t>
        </is>
      </c>
      <c r="D51" s="13" t="inlineStr">
        <is>
          <t>Correct fields and buttons appear for selected mode.</t>
        </is>
      </c>
      <c r="E51" s="13" t="inlineStr">
        <is>
          <t>Update labels/buttons immediately.</t>
        </is>
      </c>
      <c r="F51" s="14" t="inlineStr">
        <is>
          <t>Must</t>
        </is>
      </c>
      <c r="G51" s="14" t="inlineStr">
        <is>
          <t>Implemented</t>
        </is>
      </c>
      <c r="H51" s="13" t="inlineStr"/>
      <c r="I51" s="14" t="inlineStr"/>
      <c r="J51" s="13" t="inlineStr"/>
    </row>
    <row r="52">
      <c r="A52" s="9" t="inlineStr">
        <is>
          <t>Manual Test</t>
        </is>
      </c>
      <c r="B52" s="10" t="inlineStr">
        <is>
          <t>Distance mode increment</t>
        </is>
      </c>
      <c r="C52" s="10" t="inlineStr">
        <is>
          <t>Move Up/Down clicked</t>
        </is>
      </c>
      <c r="D52" s="10" t="inlineStr">
        <is>
          <t>Increment Distance is positive and used for movement.</t>
        </is>
      </c>
      <c r="E52" s="10" t="inlineStr">
        <is>
          <t>Use fallback/default if blank.</t>
        </is>
      </c>
      <c r="F52" s="11" t="inlineStr">
        <is>
          <t>Must</t>
        </is>
      </c>
      <c r="G52" s="11" t="inlineStr">
        <is>
          <t>Implemented</t>
        </is>
      </c>
      <c r="H52" s="10" t="inlineStr"/>
      <c r="I52" s="11" t="inlineStr"/>
      <c r="J52" s="10" t="inlineStr"/>
    </row>
    <row r="53">
      <c r="A53" s="12" t="inlineStr">
        <is>
          <t>Manual Test</t>
        </is>
      </c>
      <c r="B53" s="13" t="inlineStr">
        <is>
          <t>Move Up direction</t>
        </is>
      </c>
      <c r="C53" s="13" t="inlineStr">
        <is>
          <t>Distance mode Move Up clicked</t>
        </is>
      </c>
      <c r="D53" s="13" t="inlineStr">
        <is>
          <t>Position decreases relative to downward actuator distance.</t>
        </is>
      </c>
      <c r="E53" s="13" t="inlineStr">
        <is>
          <t>Update graph/status.</t>
        </is>
      </c>
      <c r="F53" s="14" t="inlineStr">
        <is>
          <t>Must</t>
        </is>
      </c>
      <c r="G53" s="14" t="inlineStr">
        <is>
          <t>Implemented</t>
        </is>
      </c>
      <c r="H53" s="13" t="inlineStr"/>
      <c r="I53" s="14" t="inlineStr"/>
      <c r="J53" s="13" t="inlineStr"/>
    </row>
    <row r="54">
      <c r="A54" s="9" t="inlineStr">
        <is>
          <t>Manual Test</t>
        </is>
      </c>
      <c r="B54" s="10" t="inlineStr">
        <is>
          <t>Move Down direction</t>
        </is>
      </c>
      <c r="C54" s="10" t="inlineStr">
        <is>
          <t>Distance mode Move Down clicked</t>
        </is>
      </c>
      <c r="D54" s="10" t="inlineStr">
        <is>
          <t>Position increases relative to downward actuator distance.</t>
        </is>
      </c>
      <c r="E54" s="10" t="inlineStr">
        <is>
          <t>Update graph/status.</t>
        </is>
      </c>
      <c r="F54" s="11" t="inlineStr">
        <is>
          <t>Must</t>
        </is>
      </c>
      <c r="G54" s="11" t="inlineStr">
        <is>
          <t>Implemented</t>
        </is>
      </c>
      <c r="H54" s="10" t="inlineStr"/>
      <c r="I54" s="11" t="inlineStr"/>
      <c r="J54" s="10" t="inlineStr"/>
    </row>
    <row r="55">
      <c r="A55" s="12" t="inlineStr">
        <is>
          <t>Manual Test</t>
        </is>
      </c>
      <c r="B55" s="13" t="inlineStr">
        <is>
          <t>Force target max</t>
        </is>
      </c>
      <c r="C55" s="13" t="inlineStr">
        <is>
          <t>Force mode input/use</t>
        </is>
      </c>
      <c r="D55" s="13" t="inlineStr">
        <is>
          <t>Target force cannot exceed 32 N.</t>
        </is>
      </c>
      <c r="E55" s="13" t="inlineStr">
        <is>
          <t>Clamp/block over-limit force.</t>
        </is>
      </c>
      <c r="F55" s="14" t="inlineStr">
        <is>
          <t>Must</t>
        </is>
      </c>
      <c r="G55" s="14" t="inlineStr">
        <is>
          <t>Implemented</t>
        </is>
      </c>
      <c r="H55" s="13" t="inlineStr"/>
      <c r="I55" s="14" t="inlineStr"/>
      <c r="J55" s="13" t="inlineStr"/>
    </row>
    <row r="56">
      <c r="A56" s="9" t="inlineStr">
        <is>
          <t>Manual Test</t>
        </is>
      </c>
      <c r="B56" s="10" t="inlineStr">
        <is>
          <t>Force mode buttons</t>
        </is>
      </c>
      <c r="C56" s="10" t="inlineStr">
        <is>
          <t>Force mode selected</t>
        </is>
      </c>
      <c r="D56" s="10" t="inlineStr">
        <is>
          <t>Move buttons become Release, Start Compression, and Home.</t>
        </is>
      </c>
      <c r="E56" s="10" t="inlineStr">
        <is>
          <t>Use force-control language.</t>
        </is>
      </c>
      <c r="F56" s="11" t="inlineStr">
        <is>
          <t>Must</t>
        </is>
      </c>
      <c r="G56" s="11" t="inlineStr">
        <is>
          <t>Implemented</t>
        </is>
      </c>
      <c r="H56" s="10" t="inlineStr"/>
      <c r="I56" s="11" t="inlineStr"/>
      <c r="J56" s="10" t="inlineStr"/>
    </row>
    <row r="57">
      <c r="A57" s="12" t="inlineStr">
        <is>
          <t>Manual Test</t>
        </is>
      </c>
      <c r="B57" s="13" t="inlineStr">
        <is>
          <t>Drag disabled in Force mode</t>
        </is>
      </c>
      <c r="C57" s="13" t="inlineStr">
        <is>
          <t>Force selected</t>
        </is>
      </c>
      <c r="D57" s="13" t="inlineStr">
        <is>
          <t>Drag control remains visible but disabled/soft.</t>
        </is>
      </c>
      <c r="E57" s="13" t="inlineStr">
        <is>
          <t>Prevent drag-control movement.</t>
        </is>
      </c>
      <c r="F57" s="14" t="inlineStr">
        <is>
          <t>Must</t>
        </is>
      </c>
      <c r="G57" s="14" t="inlineStr">
        <is>
          <t>Implemented</t>
        </is>
      </c>
      <c r="H57" s="13" t="inlineStr"/>
      <c r="I57" s="14" t="inlineStr"/>
      <c r="J57" s="13" t="inlineStr"/>
    </row>
    <row r="58">
      <c r="A58" s="9" t="inlineStr">
        <is>
          <t>Manual Test</t>
        </is>
      </c>
      <c r="B58" s="10" t="inlineStr">
        <is>
          <t>Motion lockout</t>
        </is>
      </c>
      <c r="C58" s="10" t="inlineStr">
        <is>
          <t>Any manual movement command clicked</t>
        </is>
      </c>
      <c r="D58" s="10" t="inlineStr">
        <is>
          <t>Controls lock for 5 seconds to simulate actuator motion.</t>
        </is>
      </c>
      <c r="E58" s="10" t="inlineStr">
        <is>
          <t>Only Pause remains available.</t>
        </is>
      </c>
      <c r="F58" s="11" t="inlineStr">
        <is>
          <t>Must</t>
        </is>
      </c>
      <c r="G58" s="11" t="inlineStr">
        <is>
          <t>Implemented</t>
        </is>
      </c>
      <c r="H58" s="10" t="inlineStr"/>
      <c r="I58" s="11" t="inlineStr"/>
      <c r="J58" s="10" t="inlineStr"/>
    </row>
    <row r="59">
      <c r="A59" s="12" t="inlineStr">
        <is>
          <t>Manual Test</t>
        </is>
      </c>
      <c r="B59" s="13" t="inlineStr">
        <is>
          <t>Manual pause immediate</t>
        </is>
      </c>
      <c r="C59" s="13" t="inlineStr">
        <is>
          <t>Pause clicked during manual lockout</t>
        </is>
      </c>
      <c r="D59" s="13" t="inlineStr">
        <is>
          <t>Movement stops and controls unlock immediately.</t>
        </is>
      </c>
      <c r="E59" s="13" t="inlineStr">
        <is>
          <t>Clear timer/lockout.</t>
        </is>
      </c>
      <c r="F59" s="14" t="inlineStr">
        <is>
          <t>Must</t>
        </is>
      </c>
      <c r="G59" s="14" t="inlineStr">
        <is>
          <t>Implemented</t>
        </is>
      </c>
      <c r="H59" s="13" t="inlineStr"/>
      <c r="I59" s="14" t="inlineStr"/>
      <c r="J59" s="13" t="inlineStr"/>
    </row>
    <row r="60">
      <c r="A60" s="9" t="inlineStr">
        <is>
          <t>Manual Test</t>
        </is>
      </c>
      <c r="B60" s="10" t="inlineStr">
        <is>
          <t>Calibration increment persistence</t>
        </is>
      </c>
      <c r="C60" s="10" t="inlineStr">
        <is>
          <t>Increment changed or used</t>
        </is>
      </c>
      <c r="D60" s="10" t="inlineStr">
        <is>
          <t>Last increment value is stored and restored next time.</t>
        </is>
      </c>
      <c r="E60" s="10" t="inlineStr">
        <is>
          <t>Use default 0.1 if none exists.</t>
        </is>
      </c>
      <c r="F60" s="11" t="inlineStr">
        <is>
          <t>Should</t>
        </is>
      </c>
      <c r="G60" s="11" t="inlineStr">
        <is>
          <t>Implemented</t>
        </is>
      </c>
      <c r="H60" s="10" t="inlineStr"/>
      <c r="I60" s="11" t="inlineStr"/>
      <c r="J60" s="10" t="inlineStr"/>
    </row>
    <row r="61">
      <c r="A61" s="12" t="inlineStr">
        <is>
          <t>Manual Test</t>
        </is>
      </c>
      <c r="B61" s="13" t="inlineStr">
        <is>
          <t>Manual analysis tabs</t>
        </is>
      </c>
      <c r="C61" s="13" t="inlineStr">
        <is>
          <t>Perform Analysis clicked</t>
        </is>
      </c>
      <c r="D61" s="13" t="inlineStr">
        <is>
          <t>Cap vs Force, Force vs Time, and Cap vs Time tabs are shown.</t>
        </is>
      </c>
      <c r="E61" s="13" t="inlineStr">
        <is>
          <t>Return to setup when analysis closes.</t>
        </is>
      </c>
      <c r="F61" s="14" t="inlineStr">
        <is>
          <t>Must</t>
        </is>
      </c>
      <c r="G61" s="14" t="inlineStr">
        <is>
          <t>Implemented</t>
        </is>
      </c>
      <c r="H61" s="13" t="inlineStr"/>
      <c r="I61" s="14" t="inlineStr"/>
      <c r="J61" s="13" t="inlineStr"/>
    </row>
    <row r="62">
      <c r="A62" s="9" t="inlineStr">
        <is>
          <t>Cyclical Test</t>
        </is>
      </c>
      <c r="B62" s="10" t="inlineStr">
        <is>
          <t>Waveform options</t>
        </is>
      </c>
      <c r="C62" s="10" t="inlineStr">
        <is>
          <t>Cyclical selected</t>
        </is>
      </c>
      <c r="D62" s="10" t="inlineStr">
        <is>
          <t>Only Sine and Square are available.</t>
        </is>
      </c>
      <c r="E62" s="10" t="inlineStr">
        <is>
          <t>Hide unsupported waveform options.</t>
        </is>
      </c>
      <c r="F62" s="11" t="inlineStr">
        <is>
          <t>Must</t>
        </is>
      </c>
      <c r="G62" s="11" t="inlineStr">
        <is>
          <t>Implemented</t>
        </is>
      </c>
      <c r="H62" s="10" t="inlineStr"/>
      <c r="I62" s="11" t="inlineStr"/>
      <c r="J62" s="10" t="inlineStr"/>
    </row>
    <row r="63">
      <c r="A63" s="12" t="inlineStr">
        <is>
          <t>Cyclical Test</t>
        </is>
      </c>
      <c r="B63" s="13" t="inlineStr">
        <is>
          <t>Lower force minimum</t>
        </is>
      </c>
      <c r="C63" s="13" t="inlineStr">
        <is>
          <t>Input/change</t>
        </is>
      </c>
      <c r="D63" s="13" t="inlineStr">
        <is>
          <t>Lower bound is at least -20 N.</t>
        </is>
      </c>
      <c r="E63" s="13" t="inlineStr">
        <is>
          <t>Clamp/block below -20 N.</t>
        </is>
      </c>
      <c r="F63" s="14" t="inlineStr">
        <is>
          <t>Must</t>
        </is>
      </c>
      <c r="G63" s="14" t="inlineStr">
        <is>
          <t>Implemented</t>
        </is>
      </c>
      <c r="H63" s="13" t="inlineStr"/>
      <c r="I63" s="14" t="inlineStr"/>
      <c r="J63" s="13" t="inlineStr"/>
    </row>
    <row r="64">
      <c r="A64" s="9" t="inlineStr">
        <is>
          <t>Cyclical Test</t>
        </is>
      </c>
      <c r="B64" s="10" t="inlineStr">
        <is>
          <t>Upper force maximum</t>
        </is>
      </c>
      <c r="C64" s="10" t="inlineStr">
        <is>
          <t>Input/change</t>
        </is>
      </c>
      <c r="D64" s="10" t="inlineStr">
        <is>
          <t>Upper bound is at most 32 N.</t>
        </is>
      </c>
      <c r="E64" s="10" t="inlineStr">
        <is>
          <t>Clamp/block above 32 N.</t>
        </is>
      </c>
      <c r="F64" s="11" t="inlineStr">
        <is>
          <t>Must</t>
        </is>
      </c>
      <c r="G64" s="11" t="inlineStr">
        <is>
          <t>Implemented</t>
        </is>
      </c>
      <c r="H64" s="10" t="inlineStr"/>
      <c r="I64" s="11" t="inlineStr"/>
      <c r="J64" s="10" t="inlineStr"/>
    </row>
    <row r="65">
      <c r="A65" s="12" t="inlineStr">
        <is>
          <t>Cyclical Test</t>
        </is>
      </c>
      <c r="B65" s="13" t="inlineStr">
        <is>
          <t>Upper greater than lower</t>
        </is>
      </c>
      <c r="C65" s="13" t="inlineStr">
        <is>
          <t>Input/change</t>
        </is>
      </c>
      <c r="D65" s="13" t="inlineStr">
        <is>
          <t>Upper force bound is higher than lower force bound.</t>
        </is>
      </c>
      <c r="E65" s="13" t="inlineStr">
        <is>
          <t>Show error state and block/disable start as needed.</t>
        </is>
      </c>
      <c r="F65" s="14" t="inlineStr">
        <is>
          <t>Must</t>
        </is>
      </c>
      <c r="G65" s="14" t="inlineStr">
        <is>
          <t>Implemented</t>
        </is>
      </c>
      <c r="H65" s="13" t="inlineStr"/>
      <c r="I65" s="14" t="inlineStr"/>
      <c r="J65" s="13" t="inlineStr"/>
    </row>
    <row r="66">
      <c r="A66" s="9" t="inlineStr">
        <is>
          <t>Cyclical Test</t>
        </is>
      </c>
      <c r="B66" s="10" t="inlineStr">
        <is>
          <t>Number of cycles default</t>
        </is>
      </c>
      <c r="C66" s="10" t="inlineStr">
        <is>
          <t>Cyclical opens</t>
        </is>
      </c>
      <c r="D66" s="10" t="inlineStr">
        <is>
          <t>Number of Cycles defaults to 28800.</t>
        </is>
      </c>
      <c r="E66" s="10" t="inlineStr">
        <is>
          <t>Use 28800 fallback.</t>
        </is>
      </c>
      <c r="F66" s="11" t="inlineStr">
        <is>
          <t>Must</t>
        </is>
      </c>
      <c r="G66" s="11" t="inlineStr">
        <is>
          <t>Implemented</t>
        </is>
      </c>
      <c r="H66" s="10" t="inlineStr"/>
      <c r="I66" s="11" t="inlineStr"/>
      <c r="J66" s="10" t="inlineStr"/>
    </row>
    <row r="67">
      <c r="A67" s="12" t="inlineStr">
        <is>
          <t>Cyclical Test</t>
        </is>
      </c>
      <c r="B67" s="13" t="inlineStr">
        <is>
          <t>Duration estimate</t>
        </is>
      </c>
      <c r="C67" s="13" t="inlineStr">
        <is>
          <t>Cycles/frequency changes</t>
        </is>
      </c>
      <c r="D67" s="13" t="inlineStr">
        <is>
          <t>Estimated time updates in hours/minutes.</t>
        </is>
      </c>
      <c r="E67" s="13" t="inlineStr">
        <is>
          <t>Recalculate live.</t>
        </is>
      </c>
      <c r="F67" s="14" t="inlineStr">
        <is>
          <t>Must</t>
        </is>
      </c>
      <c r="G67" s="14" t="inlineStr">
        <is>
          <t>Implemented</t>
        </is>
      </c>
      <c r="H67" s="13" t="inlineStr"/>
      <c r="I67" s="14" t="inlineStr"/>
      <c r="J67" s="13" t="inlineStr"/>
    </row>
    <row r="68">
      <c r="A68" s="9" t="inlineStr">
        <is>
          <t>Cyclical Test</t>
        </is>
      </c>
      <c r="B68" s="10" t="inlineStr">
        <is>
          <t>Start locks controls</t>
        </is>
      </c>
      <c r="C68" s="10" t="inlineStr">
        <is>
          <t>Start clicked</t>
        </is>
      </c>
      <c r="D68" s="10" t="inlineStr">
        <is>
          <t>Controls lock while running except Pause.</t>
        </is>
      </c>
      <c r="E68" s="10" t="inlineStr">
        <is>
          <t>Disable editable controls during run.</t>
        </is>
      </c>
      <c r="F68" s="11" t="inlineStr">
        <is>
          <t>Must</t>
        </is>
      </c>
      <c r="G68" s="11" t="inlineStr">
        <is>
          <t>Implemented</t>
        </is>
      </c>
      <c r="H68" s="10" t="inlineStr"/>
      <c r="I68" s="11" t="inlineStr"/>
      <c r="J68" s="10" t="inlineStr"/>
    </row>
    <row r="69">
      <c r="A69" s="12" t="inlineStr">
        <is>
          <t>Cyclical Test</t>
        </is>
      </c>
      <c r="B69" s="13" t="inlineStr">
        <is>
          <t>Pause return-home lockout</t>
        </is>
      </c>
      <c r="C69" s="13" t="inlineStr">
        <is>
          <t>Pause clicked</t>
        </is>
      </c>
      <c r="D69" s="13" t="inlineStr">
        <is>
          <t>5-second simulated return-home lockout occurs.</t>
        </is>
      </c>
      <c r="E69" s="13" t="inlineStr">
        <is>
          <t>Unlock controls after timer.</t>
        </is>
      </c>
      <c r="F69" s="14" t="inlineStr">
        <is>
          <t>Must</t>
        </is>
      </c>
      <c r="G69" s="14" t="inlineStr">
        <is>
          <t>Implemented</t>
        </is>
      </c>
      <c r="H69" s="13" t="inlineStr"/>
      <c r="I69" s="14" t="inlineStr"/>
      <c r="J69" s="13" t="inlineStr"/>
    </row>
    <row r="70">
      <c r="A70" s="9" t="inlineStr">
        <is>
          <t>Cyclical Test</t>
        </is>
      </c>
      <c r="B70" s="10" t="inlineStr">
        <is>
          <t>No analysis workflow</t>
        </is>
      </c>
      <c r="C70" s="10" t="inlineStr">
        <is>
          <t>Cyclical selected/running</t>
        </is>
      </c>
      <c r="D70" s="10" t="inlineStr">
        <is>
          <t>No Perform Analysis path is shown/used.</t>
        </is>
      </c>
      <c r="E70" s="10" t="inlineStr">
        <is>
          <t>Do not save cyclical data.</t>
        </is>
      </c>
      <c r="F70" s="11" t="inlineStr">
        <is>
          <t>Must</t>
        </is>
      </c>
      <c r="G70" s="11" t="inlineStr">
        <is>
          <t>Implemented</t>
        </is>
      </c>
      <c r="H70" s="10" t="inlineStr"/>
      <c r="I70" s="11" t="inlineStr"/>
      <c r="J70" s="10" t="inlineStr"/>
    </row>
    <row r="71">
      <c r="A71" s="12" t="inlineStr">
        <is>
          <t>Cyclical Test</t>
        </is>
      </c>
      <c r="B71" s="13" t="inlineStr">
        <is>
          <t>No folder saving</t>
        </is>
      </c>
      <c r="C71" s="13" t="inlineStr">
        <is>
          <t>Begin Test or Cyclical run</t>
        </is>
      </c>
      <c r="D71" s="13" t="inlineStr">
        <is>
          <t>Cyclical creates/saves nothing.</t>
        </is>
      </c>
      <c r="E71" s="13" t="inlineStr">
        <is>
          <t>Skip folder conflict and file creation.</t>
        </is>
      </c>
      <c r="F71" s="14" t="inlineStr">
        <is>
          <t>Must</t>
        </is>
      </c>
      <c r="G71" s="14" t="inlineStr">
        <is>
          <t>Implemented</t>
        </is>
      </c>
      <c r="H71" s="13" t="inlineStr"/>
      <c r="I71" s="14" t="inlineStr"/>
      <c r="J71" s="13" t="inlineStr"/>
    </row>
    <row r="72">
      <c r="A72" s="9" t="inlineStr">
        <is>
          <t>Analysis</t>
        </is>
      </c>
      <c r="B72" s="10" t="inlineStr">
        <is>
          <t>Creation timing</t>
        </is>
      </c>
      <c r="C72" s="10" t="inlineStr">
        <is>
          <t>Perform Analysis clicked</t>
        </is>
      </c>
      <c r="D72" s="10" t="inlineStr">
        <is>
          <t>Folders/data/outputs are created only during analysis.</t>
        </is>
      </c>
      <c r="E72" s="10" t="inlineStr">
        <is>
          <t>Do not create on Verify or Begin Test.</t>
        </is>
      </c>
      <c r="F72" s="11" t="inlineStr">
        <is>
          <t>Must</t>
        </is>
      </c>
      <c r="G72" s="11" t="inlineStr">
        <is>
          <t>Implemented</t>
        </is>
      </c>
      <c r="H72" s="10" t="inlineStr"/>
      <c r="I72" s="11" t="inlineStr"/>
      <c r="J72" s="10" t="inlineStr"/>
    </row>
    <row r="73">
      <c r="A73" s="12" t="inlineStr">
        <is>
          <t>Analysis</t>
        </is>
      </c>
      <c r="B73" s="13" t="inlineStr">
        <is>
          <t>EM required tabs</t>
        </is>
      </c>
      <c r="C73" s="13" t="inlineStr">
        <is>
          <t>EM analysis opens</t>
        </is>
      </c>
      <c r="D73" s="13" t="inlineStr">
        <is>
          <t>Raw Signals, Pressure Sensitivity Curves, All CH/Runs, Summary Stats, Report Output.</t>
        </is>
      </c>
      <c r="E73" s="13" t="inlineStr">
        <is>
          <t>Missing tab is a UI bug.</t>
        </is>
      </c>
      <c r="F73" s="14" t="inlineStr">
        <is>
          <t>Must</t>
        </is>
      </c>
      <c r="G73" s="14" t="inlineStr">
        <is>
          <t>Implemented</t>
        </is>
      </c>
      <c r="H73" s="13" t="inlineStr"/>
      <c r="I73" s="14" t="inlineStr"/>
      <c r="J73" s="13" t="inlineStr"/>
    </row>
    <row r="74">
      <c r="A74" s="9" t="inlineStr">
        <is>
          <t>Analysis</t>
        </is>
      </c>
      <c r="B74" s="10" t="inlineStr">
        <is>
          <t>Shear required tabs</t>
        </is>
      </c>
      <c r="C74" s="10" t="inlineStr">
        <is>
          <t>Shear analysis opens</t>
        </is>
      </c>
      <c r="D74" s="10" t="inlineStr">
        <is>
          <t>Plot, Detection Table, Report Output.</t>
        </is>
      </c>
      <c r="E74" s="10" t="inlineStr">
        <is>
          <t>Missing tab is a UI bug.</t>
        </is>
      </c>
      <c r="F74" s="11" t="inlineStr">
        <is>
          <t>Must</t>
        </is>
      </c>
      <c r="G74" s="11" t="inlineStr">
        <is>
          <t>Implemented</t>
        </is>
      </c>
      <c r="H74" s="10" t="inlineStr"/>
      <c r="I74" s="11" t="inlineStr"/>
      <c r="J74" s="10" t="inlineStr"/>
    </row>
    <row r="75">
      <c r="A75" s="12" t="inlineStr">
        <is>
          <t>Analysis</t>
        </is>
      </c>
      <c r="B75" s="13" t="inlineStr">
        <is>
          <t>Manual required tabs</t>
        </is>
      </c>
      <c r="C75" s="13" t="inlineStr">
        <is>
          <t>Manual analysis opens</t>
        </is>
      </c>
      <c r="D75" s="13" t="inlineStr">
        <is>
          <t>Capacitance vs Force, Force vs Time, Capacitance vs Time.</t>
        </is>
      </c>
      <c r="E75" s="13" t="inlineStr">
        <is>
          <t>Missing tab is a UI bug.</t>
        </is>
      </c>
      <c r="F75" s="14" t="inlineStr">
        <is>
          <t>Must</t>
        </is>
      </c>
      <c r="G75" s="14" t="inlineStr">
        <is>
          <t>Implemented</t>
        </is>
      </c>
      <c r="H75" s="13" t="inlineStr"/>
      <c r="I75" s="14" t="inlineStr"/>
      <c r="J75" s="13" t="inlineStr"/>
    </row>
    <row r="76">
      <c r="A76" s="9" t="inlineStr">
        <is>
          <t>Analysis</t>
        </is>
      </c>
      <c r="B76" s="10" t="inlineStr">
        <is>
          <t>Progress bar</t>
        </is>
      </c>
      <c r="C76" s="10" t="inlineStr">
        <is>
          <t>Any Perform Analysis clicked</t>
        </is>
      </c>
      <c r="D76" s="10" t="inlineStr">
        <is>
          <t>Fake progress modal appears while outputs generate.</t>
        </is>
      </c>
      <c r="E76" s="10" t="inlineStr">
        <is>
          <t>Show user feedback during generation.</t>
        </is>
      </c>
      <c r="F76" s="11" t="inlineStr">
        <is>
          <t>Must</t>
        </is>
      </c>
      <c r="G76" s="11" t="inlineStr">
        <is>
          <t>Implemented</t>
        </is>
      </c>
      <c r="H76" s="10" t="inlineStr"/>
      <c r="I76" s="11" t="inlineStr"/>
      <c r="J76" s="10" t="inlineStr"/>
    </row>
    <row r="77">
      <c r="A77" s="12" t="inlineStr">
        <is>
          <t>Analysis</t>
        </is>
      </c>
      <c r="B77" s="13" t="inlineStr">
        <is>
          <t>Close returns to setup</t>
        </is>
      </c>
      <c r="C77" s="13" t="inlineStr">
        <is>
          <t>Analysis window closed</t>
        </is>
      </c>
      <c r="D77" s="13" t="inlineStr">
        <is>
          <t>Analysis and testing windows close and user returns to main setup.</t>
        </is>
      </c>
      <c r="E77" s="13" t="inlineStr">
        <is>
          <t>Prevent rerun from completed test window.</t>
        </is>
      </c>
      <c r="F77" s="14" t="inlineStr">
        <is>
          <t>Must</t>
        </is>
      </c>
      <c r="G77" s="14" t="inlineStr">
        <is>
          <t>Implemented</t>
        </is>
      </c>
      <c r="H77" s="13" t="inlineStr"/>
      <c r="I77" s="14" t="inlineStr"/>
      <c r="J77" s="13" t="inlineStr"/>
    </row>
    <row r="78">
      <c r="A78" s="9" t="inlineStr">
        <is>
          <t>Analysis</t>
        </is>
      </c>
      <c r="B78" s="10" t="inlineStr">
        <is>
          <t>Copy output</t>
        </is>
      </c>
      <c r="C78" s="10" t="inlineStr">
        <is>
          <t>Copy Values clicked</t>
        </is>
      </c>
      <c r="D78" s="10" t="inlineStr">
        <is>
          <t>Values copy to clipboard in tracker-friendly format.</t>
        </is>
      </c>
      <c r="E78" s="10" t="inlineStr">
        <is>
          <t>Show copy feedback.</t>
        </is>
      </c>
      <c r="F78" s="11" t="inlineStr">
        <is>
          <t>Must</t>
        </is>
      </c>
      <c r="G78" s="11" t="inlineStr">
        <is>
          <t>Implemented</t>
        </is>
      </c>
      <c r="H78" s="10" t="inlineStr"/>
      <c r="I78" s="11" t="inlineStr"/>
      <c r="J78" s="10" t="inlineStr"/>
    </row>
    <row r="79">
      <c r="A79" s="12" t="inlineStr">
        <is>
          <t>Detection / Reports</t>
        </is>
      </c>
      <c r="B79" s="13" t="inlineStr">
        <is>
          <t>EM shorted channel detection</t>
        </is>
      </c>
      <c r="C79" s="13" t="inlineStr">
        <is>
          <t>EM analysis/report generation</t>
        </is>
      </c>
      <c r="D79" s="13" t="inlineStr">
        <is>
          <t>Large compression spike over high threshold lists affected CH; otherwise NONE.</t>
        </is>
      </c>
      <c r="E79" s="13" t="inlineStr">
        <is>
          <t>Report detected channels or NONE.</t>
        </is>
      </c>
      <c r="F79" s="14" t="inlineStr">
        <is>
          <t>Must</t>
        </is>
      </c>
      <c r="G79" s="14" t="inlineStr">
        <is>
          <t>Implemented</t>
        </is>
      </c>
      <c r="H79" s="13" t="inlineStr"/>
      <c r="I79" s="14" t="inlineStr"/>
      <c r="J79" s="13" t="inlineStr"/>
    </row>
    <row r="80">
      <c r="A80" s="9" t="inlineStr">
        <is>
          <t>Detection / Reports</t>
        </is>
      </c>
      <c r="B80" s="10" t="inlineStr">
        <is>
          <t>Shear shorted channel detection</t>
        </is>
      </c>
      <c r="C80" s="10" t="inlineStr">
        <is>
          <t>Shear analysis/report generation</t>
        </is>
      </c>
      <c r="D80" s="10" t="inlineStr">
        <is>
          <t>Channels over high delta CAP threshold appear in SHORTED CH(S) VIA SHEAR.</t>
        </is>
      </c>
      <c r="E80" s="10" t="inlineStr">
        <is>
          <t>Report detected channels or None.</t>
        </is>
      </c>
      <c r="F80" s="11" t="inlineStr">
        <is>
          <t>Must</t>
        </is>
      </c>
      <c r="G80" s="11" t="inlineStr">
        <is>
          <t>Implemented</t>
        </is>
      </c>
      <c r="H80" s="10" t="inlineStr"/>
      <c r="I80" s="11" t="inlineStr"/>
      <c r="J80" s="10" t="inlineStr"/>
    </row>
    <row r="81">
      <c r="A81" s="12" t="inlineStr">
        <is>
          <t>Detection / Reports</t>
        </is>
      </c>
      <c r="B81" s="13" t="inlineStr">
        <is>
          <t>Shear negative CAP row</t>
        </is>
      </c>
      <c r="C81" s="13" t="inlineStr">
        <is>
          <t>Shear Detection Table</t>
        </is>
      </c>
      <c r="D81" s="13" t="inlineStr">
        <is>
          <t>CH1-CH8 cells show value or none.</t>
        </is>
      </c>
      <c r="E81" s="13" t="inlineStr">
        <is>
          <t>Default to none in simulation.</t>
        </is>
      </c>
      <c r="F81" s="14" t="inlineStr">
        <is>
          <t>Must</t>
        </is>
      </c>
      <c r="G81" s="14" t="inlineStr">
        <is>
          <t>Implemented</t>
        </is>
      </c>
      <c r="H81" s="13" t="inlineStr"/>
      <c r="I81" s="14" t="inlineStr"/>
      <c r="J81" s="13" t="inlineStr"/>
    </row>
    <row r="82">
      <c r="A82" s="9" t="inlineStr">
        <is>
          <t>Detection / Reports</t>
        </is>
      </c>
      <c r="B82" s="10" t="inlineStr">
        <is>
          <t>Shear delta CAP row</t>
        </is>
      </c>
      <c r="C82" s="10" t="inlineStr">
        <is>
          <t>Shear Detection Table</t>
        </is>
      </c>
      <c r="D82" s="10" t="inlineStr">
        <is>
          <t>CH1-CH8 cells show delta value or none.</t>
        </is>
      </c>
      <c r="E82" s="10" t="inlineStr">
        <is>
          <t>Default to none unless threshold exceeded.</t>
        </is>
      </c>
      <c r="F82" s="11" t="inlineStr">
        <is>
          <t>Must</t>
        </is>
      </c>
      <c r="G82" s="11" t="inlineStr">
        <is>
          <t>Implemented</t>
        </is>
      </c>
      <c r="H82" s="10" t="inlineStr"/>
      <c r="I82" s="11" t="inlineStr"/>
      <c r="J82" s="10" t="inlineStr"/>
    </row>
    <row r="83">
      <c r="A83" s="12" t="inlineStr">
        <is>
          <t>Detection / Reports</t>
        </is>
      </c>
      <c r="B83" s="13" t="inlineStr">
        <is>
          <t>Bold detection labels</t>
        </is>
      </c>
      <c r="C83" s="13" t="inlineStr">
        <is>
          <t>Shear Detection Table</t>
        </is>
      </c>
      <c r="D83" s="13" t="inlineStr">
        <is>
          <t>negative CAP and delta_CAP_gt_10pF row labels are bold.</t>
        </is>
      </c>
      <c r="E83" s="13" t="inlineStr">
        <is>
          <t>Keep table readable.</t>
        </is>
      </c>
      <c r="F83" s="14" t="inlineStr">
        <is>
          <t>Must</t>
        </is>
      </c>
      <c r="G83" s="14" t="inlineStr">
        <is>
          <t>Implemented</t>
        </is>
      </c>
      <c r="H83" s="13" t="inlineStr"/>
      <c r="I83" s="14" t="inlineStr"/>
      <c r="J83" s="13" t="inlineStr"/>
    </row>
    <row r="84">
      <c r="A84" s="9" t="inlineStr">
        <is>
          <t>Detection / Reports</t>
        </is>
      </c>
      <c r="B84" s="10" t="inlineStr">
        <is>
          <t>Report output preview</t>
        </is>
      </c>
      <c r="C84" s="10" t="inlineStr">
        <is>
          <t>Report Output tab</t>
        </is>
      </c>
      <c r="D84" s="10" t="inlineStr">
        <is>
          <t>Headers are shown for clarity; copy button copies values.</t>
        </is>
      </c>
      <c r="E84" s="10" t="inlineStr">
        <is>
          <t>Keep output tracker-friendly.</t>
        </is>
      </c>
      <c r="F84" s="11" t="inlineStr">
        <is>
          <t>Must</t>
        </is>
      </c>
      <c r="G84" s="11" t="inlineStr">
        <is>
          <t>Implemented</t>
        </is>
      </c>
      <c r="H84" s="10" t="inlineStr"/>
      <c r="I84" s="11" t="inlineStr"/>
      <c r="J84" s="10" t="inlineStr"/>
    </row>
  </sheetData>
  <autoFilter ref="A1:J84"/>
  <conditionalFormatting sqref="G2:G84">
    <cfRule type="expression" priority="1" dxfId="0">
      <formula>$G2="Implemented"</formula>
    </cfRule>
    <cfRule type="expression" priority="2" dxfId="1">
      <formula>$G2="Needs Review"</formula>
    </cfRule>
    <cfRule type="expression" priority="3" dxfId="2">
      <formula>$G2="Blocked"</formula>
    </cfRule>
  </conditionalFormatting>
  <conditionalFormatting sqref="I2:I84">
    <cfRule type="expression" priority="4" dxfId="0">
      <formula>$I2="Yes"</formula>
    </cfRule>
    <cfRule type="expression" priority="5" dxfId="2">
      <formula>$I2="No"</formula>
    </cfRule>
  </conditionalFormatting>
  <dataValidations count="3">
    <dataValidation sqref="G2:G84" showDropDown="0" showInputMessage="0" showErrorMessage="0" allowBlank="1" type="list">
      <formula1>"Implemented,Needs Review,Blocked,Not Started"</formula1>
    </dataValidation>
    <dataValidation sqref="I2:I84" showDropDown="0" showInputMessage="0" showErrorMessage="0" allowBlank="1" type="list">
      <formula1>"Yes,No,N/A"</formula1>
    </dataValidation>
    <dataValidation sqref="F2:F84"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8EA5D8"/>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Basic Settings</t>
        </is>
      </c>
      <c r="B2" s="10" t="inlineStr">
        <is>
          <t>Save folder is entered</t>
        </is>
      </c>
      <c r="C2" s="10" t="inlineStr">
        <is>
          <t>Verify clicked</t>
        </is>
      </c>
      <c r="D2" s="10" t="inlineStr">
        <is>
          <t>Save Folder field is not blank.</t>
        </is>
      </c>
      <c r="E2" s="10" t="inlineStr">
        <is>
          <t>Block Verify and show an error.</t>
        </is>
      </c>
      <c r="F2" s="11" t="inlineStr">
        <is>
          <t>Must</t>
        </is>
      </c>
      <c r="G2" s="11" t="inlineStr">
        <is>
          <t>Implemented</t>
        </is>
      </c>
      <c r="H2" s="10" t="inlineStr"/>
      <c r="I2" s="11" t="inlineStr"/>
      <c r="J2" s="10" t="inlineStr"/>
    </row>
    <row r="3">
      <c r="A3" s="12" t="inlineStr">
        <is>
          <t>Basic Settings</t>
        </is>
      </c>
      <c r="B3" s="13" t="inlineStr">
        <is>
          <t>Sensor type is selected</t>
        </is>
      </c>
      <c r="C3" s="13" t="inlineStr">
        <is>
          <t>Verify clicked</t>
        </is>
      </c>
      <c r="D3" s="13" t="inlineStr">
        <is>
          <t>Sensor Type is Standard or Inverted.</t>
        </is>
      </c>
      <c r="E3" s="13" t="inlineStr">
        <is>
          <t>Block Verify and show an error.</t>
        </is>
      </c>
      <c r="F3" s="14" t="inlineStr">
        <is>
          <t>Must</t>
        </is>
      </c>
      <c r="G3" s="14" t="inlineStr">
        <is>
          <t>Implemented</t>
        </is>
      </c>
      <c r="H3" s="13" t="inlineStr"/>
      <c r="I3" s="14" t="inlineStr"/>
      <c r="J3" s="13" t="inlineStr"/>
    </row>
    <row r="4">
      <c r="A4" s="9" t="inlineStr">
        <is>
          <t>Basic Settings</t>
        </is>
      </c>
      <c r="B4" s="10" t="inlineStr">
        <is>
          <t>Sensor ID year format</t>
        </is>
      </c>
      <c r="C4" s="10" t="inlineStr">
        <is>
          <t>Verify clicked</t>
        </is>
      </c>
      <c r="D4" s="10" t="inlineStr">
        <is>
          <t>Year segment is exactly 2 digits.</t>
        </is>
      </c>
      <c r="E4" s="10" t="inlineStr">
        <is>
          <t>Block Verify with a clear Sensor ID error.</t>
        </is>
      </c>
      <c r="F4" s="11" t="inlineStr">
        <is>
          <t>Must</t>
        </is>
      </c>
      <c r="G4" s="11" t="inlineStr">
        <is>
          <t>Implemented</t>
        </is>
      </c>
      <c r="H4" s="10" t="inlineStr"/>
      <c r="I4" s="11" t="inlineStr"/>
      <c r="J4" s="10" t="inlineStr"/>
    </row>
    <row r="5">
      <c r="A5" s="12" t="inlineStr">
        <is>
          <t>Basic Settings</t>
        </is>
      </c>
      <c r="B5" s="13" t="inlineStr">
        <is>
          <t>Sensor ID month format</t>
        </is>
      </c>
      <c r="C5" s="13" t="inlineStr">
        <is>
          <t>Verify clicked</t>
        </is>
      </c>
      <c r="D5" s="13" t="inlineStr">
        <is>
          <t>Month segment is exactly 2 digits.</t>
        </is>
      </c>
      <c r="E5" s="13" t="inlineStr">
        <is>
          <t>Block Verify with a clear Sensor ID error.</t>
        </is>
      </c>
      <c r="F5" s="14" t="inlineStr">
        <is>
          <t>Must</t>
        </is>
      </c>
      <c r="G5" s="14" t="inlineStr">
        <is>
          <t>Implemented</t>
        </is>
      </c>
      <c r="H5" s="13" t="inlineStr"/>
      <c r="I5" s="14" t="inlineStr"/>
      <c r="J5" s="13" t="inlineStr"/>
    </row>
    <row r="6">
      <c r="A6" s="9" t="inlineStr">
        <is>
          <t>Basic Settings</t>
        </is>
      </c>
      <c r="B6" s="10" t="inlineStr">
        <is>
          <t>Sensor ID day format</t>
        </is>
      </c>
      <c r="C6" s="10" t="inlineStr">
        <is>
          <t>Verify clicked</t>
        </is>
      </c>
      <c r="D6" s="10" t="inlineStr">
        <is>
          <t>Day segment is exactly 2 digits.</t>
        </is>
      </c>
      <c r="E6" s="10" t="inlineStr">
        <is>
          <t>Block Verify with a clear Sensor ID error.</t>
        </is>
      </c>
      <c r="F6" s="11" t="inlineStr">
        <is>
          <t>Must</t>
        </is>
      </c>
      <c r="G6" s="11" t="inlineStr">
        <is>
          <t>Implemented</t>
        </is>
      </c>
      <c r="H6" s="10" t="inlineStr"/>
      <c r="I6" s="11" t="inlineStr"/>
      <c r="J6" s="10" t="inlineStr"/>
    </row>
    <row r="7">
      <c r="A7" s="12" t="inlineStr">
        <is>
          <t>Basic Settings</t>
        </is>
      </c>
      <c r="B7" s="13" t="inlineStr">
        <is>
          <t>Sensor ID batch format</t>
        </is>
      </c>
      <c r="C7" s="13" t="inlineStr">
        <is>
          <t>Verify clicked</t>
        </is>
      </c>
      <c r="D7" s="13" t="inlineStr">
        <is>
          <t>Batch number is exactly 2 digits after fixed B prefix.</t>
        </is>
      </c>
      <c r="E7" s="13" t="inlineStr">
        <is>
          <t>Block Verify with a clear Sensor ID error.</t>
        </is>
      </c>
      <c r="F7" s="14" t="inlineStr">
        <is>
          <t>Must</t>
        </is>
      </c>
      <c r="G7" s="14" t="inlineStr">
        <is>
          <t>Implemented</t>
        </is>
      </c>
      <c r="H7" s="13" t="inlineStr"/>
      <c r="I7" s="14" t="inlineStr"/>
      <c r="J7" s="13" t="inlineStr"/>
    </row>
    <row r="8">
      <c r="A8" s="9" t="inlineStr">
        <is>
          <t>Basic Settings</t>
        </is>
      </c>
      <c r="B8" s="10" t="inlineStr">
        <is>
          <t>Sensor ID sensor number format</t>
        </is>
      </c>
      <c r="C8" s="10" t="inlineStr">
        <is>
          <t>Verify clicked</t>
        </is>
      </c>
      <c r="D8" s="10" t="inlineStr">
        <is>
          <t>Sensor number is exactly 2 digits after fixed S prefix.</t>
        </is>
      </c>
      <c r="E8" s="10" t="inlineStr">
        <is>
          <t>Block Verify with a clear Sensor ID error.</t>
        </is>
      </c>
      <c r="F8" s="11" t="inlineStr">
        <is>
          <t>Must</t>
        </is>
      </c>
      <c r="G8" s="11" t="inlineStr">
        <is>
          <t>Implemented</t>
        </is>
      </c>
      <c r="H8" s="10" t="inlineStr"/>
      <c r="I8" s="11" t="inlineStr"/>
      <c r="J8" s="10" t="inlineStr"/>
    </row>
    <row r="9">
      <c r="A9" s="12" t="inlineStr">
        <is>
          <t>Basic Settings</t>
        </is>
      </c>
      <c r="B9" s="13" t="inlineStr">
        <is>
          <t>Sensor ID location format</t>
        </is>
      </c>
      <c r="C9" s="13" t="inlineStr">
        <is>
          <t>Verify clicked</t>
        </is>
      </c>
      <c r="D9" s="13" t="inlineStr">
        <is>
          <t>Location is A, B, or AB.</t>
        </is>
      </c>
      <c r="E9" s="13" t="inlineStr">
        <is>
          <t>Block Verify with a clear Sensor ID error.</t>
        </is>
      </c>
      <c r="F9" s="14" t="inlineStr">
        <is>
          <t>Must</t>
        </is>
      </c>
      <c r="G9" s="14" t="inlineStr">
        <is>
          <t>Implemented</t>
        </is>
      </c>
      <c r="H9" s="13" t="inlineStr"/>
      <c r="I9" s="14" t="inlineStr"/>
      <c r="J9" s="13" t="inlineStr"/>
    </row>
    <row r="10">
      <c r="A10" s="9" t="inlineStr">
        <is>
          <t>Basic Settings</t>
        </is>
      </c>
      <c r="B10" s="10" t="inlineStr">
        <is>
          <t>Custom Sensor ID is entered</t>
        </is>
      </c>
      <c r="C10" s="10" t="inlineStr">
        <is>
          <t>Verify clicked with Use Custom Sensor ID enabled</t>
        </is>
      </c>
      <c r="D10" s="10" t="inlineStr">
        <is>
          <t>Custom Sensor ID field is not blank.</t>
        </is>
      </c>
      <c r="E10" s="10" t="inlineStr">
        <is>
          <t>Block Verify and show an error.</t>
        </is>
      </c>
      <c r="F10" s="11" t="inlineStr">
        <is>
          <t>Must</t>
        </is>
      </c>
      <c r="G10" s="11" t="inlineStr">
        <is>
          <t>Implemented</t>
        </is>
      </c>
      <c r="H10" s="10" t="inlineStr"/>
      <c r="I10" s="11" t="inlineStr"/>
      <c r="J10" s="10" t="inlineStr"/>
    </row>
    <row r="11">
      <c r="A11" s="12" t="inlineStr">
        <is>
          <t>Basic Settings</t>
        </is>
      </c>
      <c r="B11" s="13" t="inlineStr">
        <is>
          <t>Sensor ID placeholder behavior</t>
        </is>
      </c>
      <c r="C11" s="13" t="inlineStr">
        <is>
          <t>Page load</t>
        </is>
      </c>
      <c r="D11" s="13" t="inlineStr">
        <is>
          <t>Builder fields are blank; gray placeholders show last valid Sensor ID segments when available.</t>
        </is>
      </c>
      <c r="E11" s="13" t="inlineStr">
        <is>
          <t>Use current-date/example placeholders if no last Sensor ID exists.</t>
        </is>
      </c>
      <c r="F11" s="14" t="inlineStr">
        <is>
          <t>Should</t>
        </is>
      </c>
      <c r="G11" s="14" t="inlineStr">
        <is>
          <t>Implemented</t>
        </is>
      </c>
      <c r="H11" s="13" t="inlineStr"/>
      <c r="I11" s="14" t="inlineStr"/>
      <c r="J11" s="13" t="inlineStr"/>
    </row>
    <row r="12">
      <c r="A12" s="9" t="inlineStr">
        <is>
          <t>Basic Settings</t>
        </is>
      </c>
      <c r="B12" s="10" t="inlineStr">
        <is>
          <t>Custom Sensor ID placeholder behavior</t>
        </is>
      </c>
      <c r="C12" s="10" t="inlineStr">
        <is>
          <t>Page load</t>
        </is>
      </c>
      <c r="D12" s="10" t="inlineStr">
        <is>
          <t>Custom field is blank; gray placeholder may show last custom Sensor ID.</t>
        </is>
      </c>
      <c r="E12" s="10" t="inlineStr">
        <is>
          <t>Leave custom field blank if no last custom Sensor ID exists.</t>
        </is>
      </c>
      <c r="F12" s="11" t="inlineStr">
        <is>
          <t>Should</t>
        </is>
      </c>
      <c r="G12" s="11" t="inlineStr">
        <is>
          <t>Implemented</t>
        </is>
      </c>
      <c r="H12" s="10" t="inlineStr"/>
      <c r="I12" s="11" t="inlineStr"/>
      <c r="J12" s="10" t="inlineStr"/>
    </row>
    <row r="13">
      <c r="A13" s="12" t="inlineStr">
        <is>
          <t>Basic Settings</t>
        </is>
      </c>
      <c r="B13" s="13" t="inlineStr">
        <is>
          <t>Verify only opens configuration</t>
        </is>
      </c>
      <c r="C13" s="13" t="inlineStr">
        <is>
          <t>Verify clicked</t>
        </is>
      </c>
      <c r="D13" s="13" t="inlineStr">
        <is>
          <t>Verify validates basic fields and reveals Test Configuration.</t>
        </is>
      </c>
      <c r="E13" s="13" t="inlineStr">
        <is>
          <t>Do not create folders or test data during Verify.</t>
        </is>
      </c>
      <c r="F13" s="14" t="inlineStr">
        <is>
          <t>Must</t>
        </is>
      </c>
      <c r="G13" s="14" t="inlineStr">
        <is>
          <t>Implemented</t>
        </is>
      </c>
      <c r="H13" s="13" t="inlineStr"/>
      <c r="I13" s="14" t="inlineStr"/>
      <c r="J13" s="13" t="inlineStr"/>
    </row>
  </sheetData>
  <autoFilter ref="A1:J13"/>
  <conditionalFormatting sqref="G2:G13">
    <cfRule type="expression" priority="1" dxfId="0">
      <formula>$G2="Implemented"</formula>
    </cfRule>
    <cfRule type="expression" priority="2" dxfId="1">
      <formula>$G2="Needs Review"</formula>
    </cfRule>
    <cfRule type="expression" priority="3" dxfId="2">
      <formula>$G2="Blocked"</formula>
    </cfRule>
  </conditionalFormatting>
  <conditionalFormatting sqref="I2:I13">
    <cfRule type="expression" priority="4" dxfId="0">
      <formula>$I2="Yes"</formula>
    </cfRule>
    <cfRule type="expression" priority="5" dxfId="2">
      <formula>$I2="No"</formula>
    </cfRule>
  </conditionalFormatting>
  <dataValidations count="3">
    <dataValidation sqref="G2:G13" showDropDown="0" showInputMessage="0" showErrorMessage="0" allowBlank="1" type="list">
      <formula1>"Implemented,Needs Review,Blocked,Not Started"</formula1>
    </dataValidation>
    <dataValidation sqref="I2:I13" showDropDown="0" showInputMessage="0" showErrorMessage="0" allowBlank="1" type="list">
      <formula1>"Yes,No,N/A"</formula1>
    </dataValidation>
    <dataValidation sqref="F2:F13"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8EA5D8"/>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Test Configuration</t>
        </is>
      </c>
      <c r="B2" s="10" t="inlineStr">
        <is>
          <t>Verify required before Begin Test</t>
        </is>
      </c>
      <c r="C2" s="10" t="inlineStr">
        <is>
          <t>Begin Test clicked</t>
        </is>
      </c>
      <c r="D2" s="10" t="inlineStr">
        <is>
          <t>Settings were successfully verified first.</t>
        </is>
      </c>
      <c r="E2" s="10" t="inlineStr">
        <is>
          <t>Block Begin Test and show message.</t>
        </is>
      </c>
      <c r="F2" s="11" t="inlineStr">
        <is>
          <t>Must</t>
        </is>
      </c>
      <c r="G2" s="11" t="inlineStr">
        <is>
          <t>Implemented</t>
        </is>
      </c>
      <c r="H2" s="10" t="inlineStr"/>
      <c r="I2" s="11" t="inlineStr"/>
      <c r="J2" s="10" t="inlineStr"/>
    </row>
    <row r="3">
      <c r="A3" s="12" t="inlineStr">
        <is>
          <t>Test Configuration</t>
        </is>
      </c>
      <c r="B3" s="13" t="inlineStr">
        <is>
          <t>Test Type is valid</t>
        </is>
      </c>
      <c r="C3" s="13" t="inlineStr">
        <is>
          <t>Begin Test clicked</t>
        </is>
      </c>
      <c r="D3" s="13" t="inlineStr">
        <is>
          <t>Test Type is EM, Shear, Manual, or Cyclical.</t>
        </is>
      </c>
      <c r="E3" s="13" t="inlineStr">
        <is>
          <t>Block Begin Test if invalid.</t>
        </is>
      </c>
      <c r="F3" s="14" t="inlineStr">
        <is>
          <t>Must</t>
        </is>
      </c>
      <c r="G3" s="14" t="inlineStr">
        <is>
          <t>Implemented</t>
        </is>
      </c>
      <c r="H3" s="13" t="inlineStr"/>
      <c r="I3" s="14" t="inlineStr"/>
      <c r="J3" s="13" t="inlineStr"/>
    </row>
    <row r="4">
      <c r="A4" s="9" t="inlineStr">
        <is>
          <t>Test Configuration</t>
        </is>
      </c>
      <c r="B4" s="10" t="inlineStr">
        <is>
          <t>Surface area is entered</t>
        </is>
      </c>
      <c r="C4" s="10" t="inlineStr">
        <is>
          <t>Begin Test clicked</t>
        </is>
      </c>
      <c r="D4" s="10" t="inlineStr">
        <is>
          <t>Surface Area field is not blank.</t>
        </is>
      </c>
      <c r="E4" s="10" t="inlineStr">
        <is>
          <t>Block Begin Test and show message.</t>
        </is>
      </c>
      <c r="F4" s="11" t="inlineStr">
        <is>
          <t>Must</t>
        </is>
      </c>
      <c r="G4" s="11" t="inlineStr">
        <is>
          <t>Implemented</t>
        </is>
      </c>
      <c r="H4" s="10" t="inlineStr"/>
      <c r="I4" s="11" t="inlineStr"/>
      <c r="J4" s="10" t="inlineStr"/>
    </row>
    <row r="5">
      <c r="A5" s="12" t="inlineStr">
        <is>
          <t>Test Configuration</t>
        </is>
      </c>
      <c r="B5" s="13" t="inlineStr">
        <is>
          <t>Zaber COM Port is entered for applicable tests</t>
        </is>
      </c>
      <c r="C5" s="13" t="inlineStr">
        <is>
          <t>EM, Manual, or Cyclical Begin Test</t>
        </is>
      </c>
      <c r="D5" s="13" t="inlineStr">
        <is>
          <t>COM3 or COM7 selected.</t>
        </is>
      </c>
      <c r="E5" s="13" t="inlineStr">
        <is>
          <t>Block Begin Test and show message.</t>
        </is>
      </c>
      <c r="F5" s="14" t="inlineStr">
        <is>
          <t>Must</t>
        </is>
      </c>
      <c r="G5" s="14" t="inlineStr">
        <is>
          <t>Implemented</t>
        </is>
      </c>
      <c r="H5" s="13" t="inlineStr"/>
      <c r="I5" s="14" t="inlineStr"/>
      <c r="J5" s="13" t="inlineStr"/>
    </row>
    <row r="6">
      <c r="A6" s="9" t="inlineStr">
        <is>
          <t>Test Configuration</t>
        </is>
      </c>
      <c r="B6" s="10" t="inlineStr">
        <is>
          <t>EM Number of Runs default</t>
        </is>
      </c>
      <c r="C6" s="10" t="inlineStr">
        <is>
          <t>EM selected</t>
        </is>
      </c>
      <c r="D6" s="10" t="inlineStr">
        <is>
          <t>Number of Runs is enabled and defaults to 3.</t>
        </is>
      </c>
      <c r="E6" s="10" t="inlineStr">
        <is>
          <t>Auto-correct field state/value.</t>
        </is>
      </c>
      <c r="F6" s="11" t="inlineStr">
        <is>
          <t>Must</t>
        </is>
      </c>
      <c r="G6" s="11" t="inlineStr">
        <is>
          <t>Implemented</t>
        </is>
      </c>
      <c r="H6" s="10" t="inlineStr"/>
      <c r="I6" s="11" t="inlineStr"/>
      <c r="J6" s="10" t="inlineStr"/>
    </row>
    <row r="7">
      <c r="A7" s="12" t="inlineStr">
        <is>
          <t>Test Configuration</t>
        </is>
      </c>
      <c r="B7" s="13" t="inlineStr">
        <is>
          <t>Non-EM Number of Runs state</t>
        </is>
      </c>
      <c r="C7" s="13" t="inlineStr">
        <is>
          <t>Shear, Manual, or Cyclical selected</t>
        </is>
      </c>
      <c r="D7" s="13" t="inlineStr">
        <is>
          <t>Number of Runs is disabled and blank.</t>
        </is>
      </c>
      <c r="E7" s="13" t="inlineStr">
        <is>
          <t>Auto-correct field state/value.</t>
        </is>
      </c>
      <c r="F7" s="14" t="inlineStr">
        <is>
          <t>Must</t>
        </is>
      </c>
      <c r="G7" s="14" t="inlineStr">
        <is>
          <t>Implemented</t>
        </is>
      </c>
      <c r="H7" s="13" t="inlineStr"/>
      <c r="I7" s="14" t="inlineStr"/>
      <c r="J7" s="13" t="inlineStr"/>
    </row>
    <row r="8">
      <c r="A8" s="9" t="inlineStr">
        <is>
          <t>Test Configuration</t>
        </is>
      </c>
      <c r="B8" s="10" t="inlineStr">
        <is>
          <t>Shear surface area default</t>
        </is>
      </c>
      <c r="C8" s="10" t="inlineStr">
        <is>
          <t>Shear selected</t>
        </is>
      </c>
      <c r="D8" s="10" t="inlineStr">
        <is>
          <t>Surface Area defaults to 50.27 mm².</t>
        </is>
      </c>
      <c r="E8" s="10" t="inlineStr">
        <is>
          <t>Auto-update if switching into Shear.</t>
        </is>
      </c>
      <c r="F8" s="11" t="inlineStr">
        <is>
          <t>Must</t>
        </is>
      </c>
      <c r="G8" s="11" t="inlineStr">
        <is>
          <t>Implemented</t>
        </is>
      </c>
      <c r="H8" s="10" t="inlineStr"/>
      <c r="I8" s="11" t="inlineStr"/>
      <c r="J8" s="10" t="inlineStr"/>
    </row>
    <row r="9">
      <c r="A9" s="12" t="inlineStr">
        <is>
          <t>Test Configuration</t>
        </is>
      </c>
      <c r="B9" s="13" t="inlineStr">
        <is>
          <t>Standard surface area default</t>
        </is>
      </c>
      <c r="C9" s="13" t="inlineStr">
        <is>
          <t>Non-Shear selected after Shear default</t>
        </is>
      </c>
      <c r="D9" s="13" t="inlineStr">
        <is>
          <t>Surface Area returns to 325 mm² when appropriate.</t>
        </is>
      </c>
      <c r="E9" s="13" t="inlineStr">
        <is>
          <t>Auto-update if leaving Shear.</t>
        </is>
      </c>
      <c r="F9" s="14" t="inlineStr">
        <is>
          <t>Must</t>
        </is>
      </c>
      <c r="G9" s="14" t="inlineStr">
        <is>
          <t>Implemented</t>
        </is>
      </c>
      <c r="H9" s="13" t="inlineStr"/>
      <c r="I9" s="14" t="inlineStr"/>
      <c r="J9" s="13" t="inlineStr"/>
    </row>
    <row r="10">
      <c r="A10" s="9" t="inlineStr">
        <is>
          <t>Test Configuration</t>
        </is>
      </c>
      <c r="B10" s="10" t="inlineStr">
        <is>
          <t>Test folder path preview updates live</t>
        </is>
      </c>
      <c r="C10" s="10" t="inlineStr">
        <is>
          <t>Sensor/test config fields change</t>
        </is>
      </c>
      <c r="D10" s="10" t="inlineStr">
        <is>
          <t>Info tag shows the current computed folder path or existing-folder awareness.</t>
        </is>
      </c>
      <c r="E10" s="10" t="inlineStr">
        <is>
          <t>Refresh computed path and clear stale resolved choices.</t>
        </is>
      </c>
      <c r="F10" s="11" t="inlineStr">
        <is>
          <t>Must</t>
        </is>
      </c>
      <c r="G10" s="11" t="inlineStr">
        <is>
          <t>Implemented</t>
        </is>
      </c>
      <c r="H10" s="10" t="inlineStr"/>
      <c r="I10" s="11" t="inlineStr"/>
      <c r="J10" s="10" t="inlineStr"/>
    </row>
  </sheetData>
  <autoFilter ref="A1:J10"/>
  <conditionalFormatting sqref="G2:G10">
    <cfRule type="expression" priority="1" dxfId="0">
      <formula>$G2="Implemented"</formula>
    </cfRule>
    <cfRule type="expression" priority="2" dxfId="1">
      <formula>$G2="Needs Review"</formula>
    </cfRule>
    <cfRule type="expression" priority="3" dxfId="2">
      <formula>$G2="Blocked"</formula>
    </cfRule>
  </conditionalFormatting>
  <conditionalFormatting sqref="I2:I10">
    <cfRule type="expression" priority="4" dxfId="0">
      <formula>$I2="Yes"</formula>
    </cfRule>
    <cfRule type="expression" priority="5" dxfId="2">
      <formula>$I2="No"</formula>
    </cfRule>
  </conditionalFormatting>
  <dataValidations count="3">
    <dataValidation sqref="G2:G10" showDropDown="0" showInputMessage="0" showErrorMessage="0" allowBlank="1" type="list">
      <formula1>"Implemented,Needs Review,Blocked,Not Started"</formula1>
    </dataValidation>
    <dataValidation sqref="I2:I10" showDropDown="0" showInputMessage="0" showErrorMessage="0" allowBlank="1" type="list">
      <formula1>"Yes,No,N/A"</formula1>
    </dataValidation>
    <dataValidation sqref="F2:F10"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8EA5D8"/>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Folder / Existing Tests</t>
        </is>
      </c>
      <c r="B2" s="10" t="inlineStr">
        <is>
          <t>Computed folder structure</t>
        </is>
      </c>
      <c r="C2" s="10" t="inlineStr">
        <is>
          <t>Config changes and Begin Test</t>
        </is>
      </c>
      <c r="D2" s="10" t="inlineStr">
        <is>
          <t>Path follows Save Folder / Sensor ID / MM DD YY_surfaceArea_testType.</t>
        </is>
      </c>
      <c r="E2" s="10" t="inlineStr">
        <is>
          <t>Show current intended path in the info tag.</t>
        </is>
      </c>
      <c r="F2" s="11" t="inlineStr">
        <is>
          <t>Must</t>
        </is>
      </c>
      <c r="G2" s="11" t="inlineStr">
        <is>
          <t>Implemented</t>
        </is>
      </c>
      <c r="H2" s="10" t="inlineStr"/>
      <c r="I2" s="11" t="inlineStr"/>
      <c r="J2" s="10" t="inlineStr"/>
    </row>
    <row r="3">
      <c r="A3" s="12" t="inlineStr">
        <is>
          <t>Folder / Existing Tests</t>
        </is>
      </c>
      <c r="B3" s="13" t="inlineStr">
        <is>
          <t>Quiet existing-folder awareness</t>
        </is>
      </c>
      <c r="C3" s="13" t="inlineStr">
        <is>
          <t>While typing test configuration</t>
        </is>
      </c>
      <c r="D3" s="13" t="inlineStr">
        <is>
          <t>GUI quietly detects whether the computed test folder exists.</t>
        </is>
      </c>
      <c r="E3" s="13" t="inlineStr">
        <is>
          <t>Do not interrupt typing; only update info tag.</t>
        </is>
      </c>
      <c r="F3" s="14" t="inlineStr">
        <is>
          <t>Should</t>
        </is>
      </c>
      <c r="G3" s="14" t="inlineStr">
        <is>
          <t>Implemented</t>
        </is>
      </c>
      <c r="H3" s="13" t="inlineStr"/>
      <c r="I3" s="14" t="inlineStr"/>
      <c r="J3" s="13" t="inlineStr"/>
    </row>
    <row r="4">
      <c r="A4" s="9" t="inlineStr">
        <is>
          <t>Folder / Existing Tests</t>
        </is>
      </c>
      <c r="B4" s="10" t="inlineStr">
        <is>
          <t>Hard existing-folder block</t>
        </is>
      </c>
      <c r="C4" s="10" t="inlineStr">
        <is>
          <t>Begin Test clicked</t>
        </is>
      </c>
      <c r="D4" s="10" t="inlineStr">
        <is>
          <t>Current computed folder is checked before opening a test window.</t>
        </is>
      </c>
      <c r="E4" s="10" t="inlineStr">
        <is>
          <t>If it exists, show Existing Test Found options.</t>
        </is>
      </c>
      <c r="F4" s="11" t="inlineStr">
        <is>
          <t>Must</t>
        </is>
      </c>
      <c r="G4" s="11" t="inlineStr">
        <is>
          <t>Implemented</t>
        </is>
      </c>
      <c r="H4" s="10" t="inlineStr"/>
      <c r="I4" s="11" t="inlineStr"/>
      <c r="J4" s="10" t="inlineStr"/>
    </row>
    <row r="5">
      <c r="A5" s="12" t="inlineStr">
        <is>
          <t>Folder / Existing Tests</t>
        </is>
      </c>
      <c r="B5" s="13" t="inlineStr">
        <is>
          <t>Create New Versioned Test Folder</t>
        </is>
      </c>
      <c r="C5" s="13" t="inlineStr">
        <is>
          <t>Existing Test Found popup</t>
        </is>
      </c>
      <c r="D5" s="13" t="inlineStr">
        <is>
          <t>New folder uses next suffix _1, _2, _3 without stacking suffixes.</t>
        </is>
      </c>
      <c r="E5" s="13" t="inlineStr">
        <is>
          <t>Use next available sibling version.</t>
        </is>
      </c>
      <c r="F5" s="14" t="inlineStr">
        <is>
          <t>Must</t>
        </is>
      </c>
      <c r="G5" s="14" t="inlineStr">
        <is>
          <t>Implemented</t>
        </is>
      </c>
      <c r="H5" s="13" t="inlineStr"/>
      <c r="I5" s="14" t="inlineStr"/>
      <c r="J5" s="13" t="inlineStr"/>
    </row>
    <row r="6">
      <c r="A6" s="9" t="inlineStr">
        <is>
          <t>Folder / Existing Tests</t>
        </is>
      </c>
      <c r="B6" s="10" t="inlineStr">
        <is>
          <t>Redo Specific Run availability</t>
        </is>
      </c>
      <c r="C6" s="10" t="inlineStr">
        <is>
          <t>Existing Test Found popup</t>
        </is>
      </c>
      <c r="D6" s="10" t="inlineStr">
        <is>
          <t>Redo is enabled only for EM folders.</t>
        </is>
      </c>
      <c r="E6" s="10" t="inlineStr">
        <is>
          <t>Disable Redo for Shear and Manual.</t>
        </is>
      </c>
      <c r="F6" s="11" t="inlineStr">
        <is>
          <t>Must</t>
        </is>
      </c>
      <c r="G6" s="11" t="inlineStr">
        <is>
          <t>Implemented</t>
        </is>
      </c>
      <c r="H6" s="10" t="inlineStr"/>
      <c r="I6" s="11" t="inlineStr"/>
      <c r="J6" s="10" t="inlineStr"/>
    </row>
    <row r="7">
      <c r="A7" s="12" t="inlineStr">
        <is>
          <t>Folder / Existing Tests</t>
        </is>
      </c>
      <c r="B7" s="13" t="inlineStr">
        <is>
          <t>Redo Specific Run existence check</t>
        </is>
      </c>
      <c r="C7" s="13" t="inlineStr">
        <is>
          <t>Begin Test after Redo selected</t>
        </is>
      </c>
      <c r="D7" s="13" t="inlineStr">
        <is>
          <t>Selected run number exists in saved run files.</t>
        </is>
      </c>
      <c r="E7" s="13" t="inlineStr">
        <is>
          <t>Block Begin Test and show available runs.</t>
        </is>
      </c>
      <c r="F7" s="14" t="inlineStr">
        <is>
          <t>Must</t>
        </is>
      </c>
      <c r="G7" s="14" t="inlineStr">
        <is>
          <t>Implemented</t>
        </is>
      </c>
      <c r="H7" s="13" t="inlineStr"/>
      <c r="I7" s="14" t="inlineStr"/>
      <c r="J7" s="13" t="inlineStr"/>
    </row>
    <row r="8">
      <c r="A8" s="9" t="inlineStr">
        <is>
          <t>Folder / Existing Tests</t>
        </is>
      </c>
      <c r="B8" s="10" t="inlineStr">
        <is>
          <t>Overwrite confirmation</t>
        </is>
      </c>
      <c r="C8" s="10" t="inlineStr">
        <is>
          <t>Overwrite Existing Test selected</t>
        </is>
      </c>
      <c r="D8" s="10" t="inlineStr">
        <is>
          <t>User confirms overwrite in second confirmation.</t>
        </is>
      </c>
      <c r="E8" s="10" t="inlineStr">
        <is>
          <t>Cancel overwrite if user declines.</t>
        </is>
      </c>
      <c r="F8" s="11" t="inlineStr">
        <is>
          <t>Must</t>
        </is>
      </c>
      <c r="G8" s="11" t="inlineStr">
        <is>
          <t>Implemented</t>
        </is>
      </c>
      <c r="H8" s="10" t="inlineStr"/>
      <c r="I8" s="11" t="inlineStr"/>
      <c r="J8" s="10" t="inlineStr"/>
    </row>
    <row r="9">
      <c r="A9" s="12" t="inlineStr">
        <is>
          <t>Folder / Existing Tests</t>
        </is>
      </c>
      <c r="B9" s="13" t="inlineStr">
        <is>
          <t>Cancel existing workflow</t>
        </is>
      </c>
      <c r="C9" s="13" t="inlineStr">
        <is>
          <t>Cancel selected in conflict popup</t>
        </is>
      </c>
      <c r="D9" s="13" t="inlineStr">
        <is>
          <t>Test configuration closes/locks out of the interrupted workflow.</t>
        </is>
      </c>
      <c r="E9" s="13" t="inlineStr">
        <is>
          <t>Return to setup without starting a test.</t>
        </is>
      </c>
      <c r="F9" s="14" t="inlineStr">
        <is>
          <t>Must</t>
        </is>
      </c>
      <c r="G9" s="14" t="inlineStr">
        <is>
          <t>Implemented</t>
        </is>
      </c>
      <c r="H9" s="13" t="inlineStr"/>
      <c r="I9" s="14" t="inlineStr"/>
      <c r="J9" s="13" t="inlineStr"/>
    </row>
    <row r="10">
      <c r="A10" s="9" t="inlineStr">
        <is>
          <t>Folder / Existing Tests</t>
        </is>
      </c>
      <c r="B10" s="10" t="inlineStr">
        <is>
          <t>Cyclical folder conflict skip</t>
        </is>
      </c>
      <c r="C10" s="10" t="inlineStr">
        <is>
          <t>Cyclical Begin Test</t>
        </is>
      </c>
      <c r="D10" s="10" t="inlineStr">
        <is>
          <t>No existing-folder conflict popup appears.</t>
        </is>
      </c>
      <c r="E10" s="10" t="inlineStr">
        <is>
          <t>Open Cyclical window directly.</t>
        </is>
      </c>
      <c r="F10" s="11" t="inlineStr">
        <is>
          <t>Must</t>
        </is>
      </c>
      <c r="G10" s="11" t="inlineStr">
        <is>
          <t>Implemented</t>
        </is>
      </c>
      <c r="H10" s="10" t="inlineStr"/>
      <c r="I10" s="11" t="inlineStr"/>
      <c r="J10" s="10" t="inlineStr"/>
    </row>
    <row r="11">
      <c r="A11" s="12" t="inlineStr">
        <is>
          <t>Folder / Existing Tests</t>
        </is>
      </c>
      <c r="B11" s="13" t="inlineStr">
        <is>
          <t>No creation before analysis</t>
        </is>
      </c>
      <c r="C11" s="13" t="inlineStr">
        <is>
          <t>Verify and Begin Test</t>
        </is>
      </c>
      <c r="D11" s="13" t="inlineStr">
        <is>
          <t>No folders/files are created before Perform Analysis.</t>
        </is>
      </c>
      <c r="E11" s="13" t="inlineStr">
        <is>
          <t>Defer all creation/saving to analysis workflow.</t>
        </is>
      </c>
      <c r="F11" s="14" t="inlineStr">
        <is>
          <t>Must</t>
        </is>
      </c>
      <c r="G11" s="14" t="inlineStr">
        <is>
          <t>Implemented</t>
        </is>
      </c>
      <c r="H11" s="13" t="inlineStr"/>
      <c r="I11" s="14" t="inlineStr"/>
      <c r="J11" s="13" t="inlineStr"/>
    </row>
  </sheetData>
  <autoFilter ref="A1:J11"/>
  <conditionalFormatting sqref="G2:G11">
    <cfRule type="expression" priority="1" dxfId="0">
      <formula>$G2="Implemented"</formula>
    </cfRule>
    <cfRule type="expression" priority="2" dxfId="1">
      <formula>$G2="Needs Review"</formula>
    </cfRule>
    <cfRule type="expression" priority="3" dxfId="2">
      <formula>$G2="Blocked"</formula>
    </cfRule>
  </conditionalFormatting>
  <conditionalFormatting sqref="I2:I11">
    <cfRule type="expression" priority="4" dxfId="0">
      <formula>$I2="Yes"</formula>
    </cfRule>
    <cfRule type="expression" priority="5" dxfId="2">
      <formula>$I2="No"</formula>
    </cfRule>
  </conditionalFormatting>
  <dataValidations count="3">
    <dataValidation sqref="G2:G11" showDropDown="0" showInputMessage="0" showErrorMessage="0" allowBlank="1" type="list">
      <formula1>"Implemented,Needs Review,Blocked,Not Started"</formula1>
    </dataValidation>
    <dataValidation sqref="I2:I11" showDropDown="0" showInputMessage="0" showErrorMessage="0" allowBlank="1" type="list">
      <formula1>"Yes,No,N/A"</formula1>
    </dataValidation>
    <dataValidation sqref="F2:F11"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8EA5D8"/>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EM Test</t>
        </is>
      </c>
      <c r="B2" s="10" t="inlineStr">
        <is>
          <t>Start begins EM simulation</t>
        </is>
      </c>
      <c r="C2" s="10" t="inlineStr">
        <is>
          <t>Start clicked</t>
        </is>
      </c>
      <c r="D2" s="10" t="inlineStr">
        <is>
          <t>Run starts and status changes to RUNNING.</t>
        </is>
      </c>
      <c r="E2" s="10" t="inlineStr">
        <is>
          <t>Keep actuator motion disabled if initialization fails in future hardware mode.</t>
        </is>
      </c>
      <c r="F2" s="11" t="inlineStr">
        <is>
          <t>Must</t>
        </is>
      </c>
      <c r="G2" s="11" t="inlineStr">
        <is>
          <t>Implemented</t>
        </is>
      </c>
      <c r="H2" s="10" t="inlineStr"/>
      <c r="I2" s="11" t="inlineStr"/>
      <c r="J2" s="10" t="inlineStr"/>
    </row>
    <row r="3">
      <c r="A3" s="12" t="inlineStr">
        <is>
          <t>EM Test</t>
        </is>
      </c>
      <c r="B3" s="13" t="inlineStr">
        <is>
          <t>Exit disabled while running</t>
        </is>
      </c>
      <c r="C3" s="13" t="inlineStr">
        <is>
          <t>EM running</t>
        </is>
      </c>
      <c r="D3" s="13" t="inlineStr">
        <is>
          <t>Close button is disabled and Escape close is blocked.</t>
        </is>
      </c>
      <c r="E3" s="13" t="inlineStr">
        <is>
          <t>Prevent window from closing during active run.</t>
        </is>
      </c>
      <c r="F3" s="14" t="inlineStr">
        <is>
          <t>Must</t>
        </is>
      </c>
      <c r="G3" s="14" t="inlineStr">
        <is>
          <t>Implemented</t>
        </is>
      </c>
      <c r="H3" s="13" t="inlineStr"/>
      <c r="I3" s="14" t="inlineStr"/>
      <c r="J3" s="13" t="inlineStr"/>
    </row>
    <row r="4">
      <c r="A4" s="9" t="inlineStr">
        <is>
          <t>EM Test</t>
        </is>
      </c>
      <c r="B4" s="10" t="inlineStr">
        <is>
          <t>Pause return-home lockout</t>
        </is>
      </c>
      <c r="C4" s="10" t="inlineStr">
        <is>
          <t>Pause clicked</t>
        </is>
      </c>
      <c r="D4" s="10" t="inlineStr">
        <is>
          <t>Controls lock for 5 seconds while actuator stops/returns home.</t>
        </is>
      </c>
      <c r="E4" s="10" t="inlineStr">
        <is>
          <t>Keep interaction disabled until lockout ends.</t>
        </is>
      </c>
      <c r="F4" s="11" t="inlineStr">
        <is>
          <t>Must</t>
        </is>
      </c>
      <c r="G4" s="11" t="inlineStr">
        <is>
          <t>Implemented</t>
        </is>
      </c>
      <c r="H4" s="10" t="inlineStr"/>
      <c r="I4" s="11" t="inlineStr"/>
      <c r="J4" s="10" t="inlineStr"/>
    </row>
    <row r="5">
      <c r="A5" s="12" t="inlineStr">
        <is>
          <t>EM Test</t>
        </is>
      </c>
      <c r="B5" s="13" t="inlineStr">
        <is>
          <t>Run duration simulation</t>
        </is>
      </c>
      <c r="C5" s="13" t="inlineStr">
        <is>
          <t>During run</t>
        </is>
      </c>
      <c r="D5" s="13" t="inlineStr">
        <is>
          <t>Run stops after 5 seconds in preview mode.</t>
        </is>
      </c>
      <c r="E5" s="13" t="inlineStr">
        <is>
          <t>Mark run incomplete only if paused.</t>
        </is>
      </c>
      <c r="F5" s="14" t="inlineStr">
        <is>
          <t>Must</t>
        </is>
      </c>
      <c r="G5" s="14" t="inlineStr">
        <is>
          <t>Implemented</t>
        </is>
      </c>
      <c r="H5" s="13" t="inlineStr"/>
      <c r="I5" s="14" t="inlineStr"/>
      <c r="J5" s="13" t="inlineStr"/>
    </row>
    <row r="6">
      <c r="A6" s="9" t="inlineStr">
        <is>
          <t>EM Test</t>
        </is>
      </c>
      <c r="B6" s="10" t="inlineStr">
        <is>
          <t>Between-run pause</t>
        </is>
      </c>
      <c r="C6" s="10" t="inlineStr">
        <is>
          <t>After a run completes and more runs remain</t>
        </is>
      </c>
      <c r="D6" s="10" t="inlineStr">
        <is>
          <t>Status shows BETWEEN_RUNS_PAUSED and Start is enabled for next run.</t>
        </is>
      </c>
      <c r="E6" s="10" t="inlineStr">
        <is>
          <t>Do not auto-start next run.</t>
        </is>
      </c>
      <c r="F6" s="11" t="inlineStr">
        <is>
          <t>Must</t>
        </is>
      </c>
      <c r="G6" s="11" t="inlineStr">
        <is>
          <t>Implemented</t>
        </is>
      </c>
      <c r="H6" s="10" t="inlineStr"/>
      <c r="I6" s="11" t="inlineStr"/>
      <c r="J6" s="10" t="inlineStr"/>
    </row>
    <row r="7">
      <c r="A7" s="12" t="inlineStr">
        <is>
          <t>EM Test</t>
        </is>
      </c>
      <c r="B7" s="13" t="inlineStr">
        <is>
          <t>All runs complete</t>
        </is>
      </c>
      <c r="C7" s="13" t="inlineStr">
        <is>
          <t>Final run complete</t>
        </is>
      </c>
      <c r="D7" s="13" t="inlineStr">
        <is>
          <t>Perform Analysis is enabled and Start remains disabled.</t>
        </is>
      </c>
      <c r="E7" s="13" t="inlineStr">
        <is>
          <t>Keep analysis disabled until all required runs complete.</t>
        </is>
      </c>
      <c r="F7" s="14" t="inlineStr">
        <is>
          <t>Must</t>
        </is>
      </c>
      <c r="G7" s="14" t="inlineStr">
        <is>
          <t>Implemented</t>
        </is>
      </c>
      <c r="H7" s="13" t="inlineStr"/>
      <c r="I7" s="14" t="inlineStr"/>
      <c r="J7" s="13" t="inlineStr"/>
    </row>
    <row r="8">
      <c r="A8" s="9" t="inlineStr">
        <is>
          <t>EM Test</t>
        </is>
      </c>
      <c r="B8" s="10" t="inlineStr">
        <is>
          <t>Redo workflow reset</t>
        </is>
      </c>
      <c r="C8" s="10" t="inlineStr">
        <is>
          <t>Redo run completes</t>
        </is>
      </c>
      <c r="D8" s="10" t="inlineStr">
        <is>
          <t>Test Type unlocks, EM selected, Number of Runs = 3, Run to Redo blank/disabled.</t>
        </is>
      </c>
      <c r="E8" s="10" t="inlineStr">
        <is>
          <t>Clear redo lock/action state.</t>
        </is>
      </c>
      <c r="F8" s="11" t="inlineStr">
        <is>
          <t>Must</t>
        </is>
      </c>
      <c r="G8" s="11" t="inlineStr">
        <is>
          <t>Implemented</t>
        </is>
      </c>
      <c r="H8" s="10" t="inlineStr"/>
      <c r="I8" s="11" t="inlineStr"/>
      <c r="J8" s="10" t="inlineStr"/>
    </row>
    <row r="9">
      <c r="A9" s="12" t="inlineStr">
        <is>
          <t>EM Test</t>
        </is>
      </c>
      <c r="B9" s="13" t="inlineStr">
        <is>
          <t>Status table format</t>
        </is>
      </c>
      <c r="C9" s="13" t="inlineStr">
        <is>
          <t>During test</t>
        </is>
      </c>
      <c r="D9" s="13" t="inlineStr">
        <is>
          <t>Rows append as Run Number | Time (s) | Force (N).</t>
        </is>
      </c>
      <c r="E9" s="13" t="inlineStr">
        <is>
          <t>Keep system states in chronological log.</t>
        </is>
      </c>
      <c r="F9" s="14" t="inlineStr">
        <is>
          <t>Must</t>
        </is>
      </c>
      <c r="G9" s="14" t="inlineStr">
        <is>
          <t>Implemented</t>
        </is>
      </c>
      <c r="H9" s="13" t="inlineStr"/>
      <c r="I9" s="14" t="inlineStr"/>
      <c r="J9" s="13" t="inlineStr"/>
    </row>
    <row r="10">
      <c r="A10" s="9" t="inlineStr">
        <is>
          <t>EM Test</t>
        </is>
      </c>
      <c r="B10" s="10" t="inlineStr">
        <is>
          <t>Force graph display</t>
        </is>
      </c>
      <c r="C10" s="10" t="inlineStr">
        <is>
          <t>During test</t>
        </is>
      </c>
      <c r="D10" s="10" t="inlineStr">
        <is>
          <t>Live Force vs Time graph updates with table readings.</t>
        </is>
      </c>
      <c r="E10" s="10" t="inlineStr">
        <is>
          <t>Reset graph appropriately between runs.</t>
        </is>
      </c>
      <c r="F10" s="11" t="inlineStr">
        <is>
          <t>Must</t>
        </is>
      </c>
      <c r="G10" s="11" t="inlineStr">
        <is>
          <t>Implemented</t>
        </is>
      </c>
      <c r="H10" s="10" t="inlineStr"/>
      <c r="I10" s="11" t="inlineStr"/>
      <c r="J10" s="10" t="inlineStr"/>
    </row>
  </sheetData>
  <autoFilter ref="A1:J10"/>
  <conditionalFormatting sqref="G2:G10">
    <cfRule type="expression" priority="1" dxfId="0">
      <formula>$G2="Implemented"</formula>
    </cfRule>
    <cfRule type="expression" priority="2" dxfId="1">
      <formula>$G2="Needs Review"</formula>
    </cfRule>
    <cfRule type="expression" priority="3" dxfId="2">
      <formula>$G2="Blocked"</formula>
    </cfRule>
  </conditionalFormatting>
  <conditionalFormatting sqref="I2:I10">
    <cfRule type="expression" priority="4" dxfId="0">
      <formula>$I2="Yes"</formula>
    </cfRule>
    <cfRule type="expression" priority="5" dxfId="2">
      <formula>$I2="No"</formula>
    </cfRule>
  </conditionalFormatting>
  <dataValidations count="3">
    <dataValidation sqref="G2:G10" showDropDown="0" showInputMessage="0" showErrorMessage="0" allowBlank="1" type="list">
      <formula1>"Implemented,Needs Review,Blocked,Not Started"</formula1>
    </dataValidation>
    <dataValidation sqref="I2:I10" showDropDown="0" showInputMessage="0" showErrorMessage="0" allowBlank="1" type="list">
      <formula1>"Yes,No,N/A"</formula1>
    </dataValidation>
    <dataValidation sqref="F2:F10"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8EA5D8"/>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Shear Test</t>
        </is>
      </c>
      <c r="B2" s="10" t="inlineStr">
        <is>
          <t>Start begins shear graph</t>
        </is>
      </c>
      <c r="C2" s="10" t="inlineStr">
        <is>
          <t>Start clicked</t>
        </is>
      </c>
      <c r="D2" s="10" t="inlineStr">
        <is>
          <t>Live graph starts updating with force over time.</t>
        </is>
      </c>
      <c r="E2" s="10" t="inlineStr">
        <is>
          <t>Start disabled while running.</t>
        </is>
      </c>
      <c r="F2" s="11" t="inlineStr">
        <is>
          <t>Must</t>
        </is>
      </c>
      <c r="G2" s="11" t="inlineStr">
        <is>
          <t>Implemented</t>
        </is>
      </c>
      <c r="H2" s="10" t="inlineStr"/>
      <c r="I2" s="11" t="inlineStr"/>
      <c r="J2" s="10" t="inlineStr"/>
    </row>
    <row r="3">
      <c r="A3" s="12" t="inlineStr">
        <is>
          <t>Shear Test</t>
        </is>
      </c>
      <c r="B3" s="13" t="inlineStr">
        <is>
          <t>Exit disabled while running</t>
        </is>
      </c>
      <c r="C3" s="13" t="inlineStr">
        <is>
          <t>Shear running</t>
        </is>
      </c>
      <c r="D3" s="13" t="inlineStr">
        <is>
          <t>Close button is disabled and Escape close is blocked.</t>
        </is>
      </c>
      <c r="E3" s="13" t="inlineStr">
        <is>
          <t>Prevent window from closing during active run.</t>
        </is>
      </c>
      <c r="F3" s="14" t="inlineStr">
        <is>
          <t>Must</t>
        </is>
      </c>
      <c r="G3" s="14" t="inlineStr">
        <is>
          <t>Implemented</t>
        </is>
      </c>
      <c r="H3" s="13" t="inlineStr"/>
      <c r="I3" s="14" t="inlineStr"/>
      <c r="J3" s="13" t="inlineStr"/>
    </row>
    <row r="4">
      <c r="A4" s="9" t="inlineStr">
        <is>
          <t>Shear Test</t>
        </is>
      </c>
      <c r="B4" s="10" t="inlineStr">
        <is>
          <t>Pause return-home lockout</t>
        </is>
      </c>
      <c r="C4" s="10" t="inlineStr">
        <is>
          <t>Pause clicked</t>
        </is>
      </c>
      <c r="D4" s="10" t="inlineStr">
        <is>
          <t>Graph resets, latest data is preserved for analysis, controls lock for 5 seconds.</t>
        </is>
      </c>
      <c r="E4" s="10" t="inlineStr">
        <is>
          <t>Unlock controls after simulated return home.</t>
        </is>
      </c>
      <c r="F4" s="11" t="inlineStr">
        <is>
          <t>Must</t>
        </is>
      </c>
      <c r="G4" s="11" t="inlineStr">
        <is>
          <t>Implemented</t>
        </is>
      </c>
      <c r="H4" s="10" t="inlineStr"/>
      <c r="I4" s="11" t="inlineStr"/>
      <c r="J4" s="10" t="inlineStr"/>
    </row>
    <row r="5">
      <c r="A5" s="12" t="inlineStr">
        <is>
          <t>Shear Test</t>
        </is>
      </c>
      <c r="B5" s="13" t="inlineStr">
        <is>
          <t>Analysis enabled after data</t>
        </is>
      </c>
      <c r="C5" s="13" t="inlineStr">
        <is>
          <t>Data captured</t>
        </is>
      </c>
      <c r="D5" s="13" t="inlineStr">
        <is>
          <t>Perform Analysis is enabled once there is data.</t>
        </is>
      </c>
      <c r="E5" s="13" t="inlineStr">
        <is>
          <t>Keep disabled when no data exists.</t>
        </is>
      </c>
      <c r="F5" s="14" t="inlineStr">
        <is>
          <t>Must</t>
        </is>
      </c>
      <c r="G5" s="14" t="inlineStr">
        <is>
          <t>Implemented</t>
        </is>
      </c>
      <c r="H5" s="13" t="inlineStr"/>
      <c r="I5" s="14" t="inlineStr"/>
      <c r="J5" s="13" t="inlineStr"/>
    </row>
    <row r="6">
      <c r="A6" s="9" t="inlineStr">
        <is>
          <t>Shear Test</t>
        </is>
      </c>
      <c r="B6" s="10" t="inlineStr">
        <is>
          <t>Perform Analysis acts as stop</t>
        </is>
      </c>
      <c r="C6" s="10" t="inlineStr">
        <is>
          <t>Perform Analysis clicked</t>
        </is>
      </c>
      <c r="D6" s="10" t="inlineStr">
        <is>
          <t>Live plotting stops, latest data is preserved, exit is enabled.</t>
        </is>
      </c>
      <c r="E6" s="10" t="inlineStr">
        <is>
          <t>Use the newest/latest run for analysis.</t>
        </is>
      </c>
      <c r="F6" s="11" t="inlineStr">
        <is>
          <t>Must</t>
        </is>
      </c>
      <c r="G6" s="11" t="inlineStr">
        <is>
          <t>Implemented</t>
        </is>
      </c>
      <c r="H6" s="10" t="inlineStr"/>
      <c r="I6" s="11" t="inlineStr"/>
      <c r="J6" s="10" t="inlineStr"/>
    </row>
    <row r="7">
      <c r="A7" s="12" t="inlineStr">
        <is>
          <t>Shear Test</t>
        </is>
      </c>
      <c r="B7" s="13" t="inlineStr">
        <is>
          <t>Restart after pause clears old live graph</t>
        </is>
      </c>
      <c r="C7" s="13" t="inlineStr">
        <is>
          <t>Start clicked after pause</t>
        </is>
      </c>
      <c r="D7" s="13" t="inlineStr">
        <is>
          <t>Previous paused graph is discarded for new run.</t>
        </is>
      </c>
      <c r="E7" s="13" t="inlineStr">
        <is>
          <t>Latest run becomes analysis source.</t>
        </is>
      </c>
      <c r="F7" s="14" t="inlineStr">
        <is>
          <t>Must</t>
        </is>
      </c>
      <c r="G7" s="14" t="inlineStr">
        <is>
          <t>Implemented</t>
        </is>
      </c>
      <c r="H7" s="13" t="inlineStr"/>
      <c r="I7" s="14" t="inlineStr"/>
      <c r="J7" s="13" t="inlineStr"/>
    </row>
    <row r="8">
      <c r="A8" s="9" t="inlineStr">
        <is>
          <t>Shear Test</t>
        </is>
      </c>
      <c r="B8" s="10" t="inlineStr">
        <is>
          <t>Y-axis defaults</t>
        </is>
      </c>
      <c r="C8" s="10" t="inlineStr">
        <is>
          <t>Shear window opens</t>
        </is>
      </c>
      <c r="D8" s="10" t="inlineStr">
        <is>
          <t>Y-axis min defaults to 0 and max defaults to 5 N.</t>
        </is>
      </c>
      <c r="E8" s="10" t="inlineStr">
        <is>
          <t>Auto-set defaults.</t>
        </is>
      </c>
      <c r="F8" s="11" t="inlineStr">
        <is>
          <t>Must</t>
        </is>
      </c>
      <c r="G8" s="11" t="inlineStr">
        <is>
          <t>Implemented</t>
        </is>
      </c>
      <c r="H8" s="10" t="inlineStr"/>
      <c r="I8" s="11" t="inlineStr"/>
      <c r="J8" s="10" t="inlineStr"/>
    </row>
    <row r="9">
      <c r="A9" s="12" t="inlineStr">
        <is>
          <t>Shear Test</t>
        </is>
      </c>
      <c r="B9" s="13" t="inlineStr">
        <is>
          <t>Simulated force range</t>
        </is>
      </c>
      <c r="C9" s="13" t="inlineStr">
        <is>
          <t>During preview run</t>
        </is>
      </c>
      <c r="D9" s="13" t="inlineStr">
        <is>
          <t>Force rises to around 1.5 N.</t>
        </is>
      </c>
      <c r="E9" s="13" t="inlineStr">
        <is>
          <t>Keep preview trend realistic.</t>
        </is>
      </c>
      <c r="F9" s="14" t="inlineStr">
        <is>
          <t>Must</t>
        </is>
      </c>
      <c r="G9" s="14" t="inlineStr">
        <is>
          <t>Implemented</t>
        </is>
      </c>
      <c r="H9" s="13" t="inlineStr"/>
      <c r="I9" s="14" t="inlineStr"/>
      <c r="J9" s="13" t="inlineStr"/>
    </row>
    <row r="10">
      <c r="A10" s="9" t="inlineStr">
        <is>
          <t>Shear Test</t>
        </is>
      </c>
      <c r="B10" s="10" t="inlineStr">
        <is>
          <t>Graph controls</t>
        </is>
      </c>
      <c r="C10" s="10" t="inlineStr">
        <is>
          <t>Settings changed</t>
        </is>
      </c>
      <c r="D10" s="10" t="inlineStr">
        <is>
          <t>Last Seconds, Y-axis, markers, and cumulative time update graph display.</t>
        </is>
      </c>
      <c r="E10" s="10" t="inlineStr">
        <is>
          <t>Redraw graph with new settings.</t>
        </is>
      </c>
      <c r="F10" s="11" t="inlineStr">
        <is>
          <t>Must</t>
        </is>
      </c>
      <c r="G10" s="11" t="inlineStr">
        <is>
          <t>Implemented</t>
        </is>
      </c>
      <c r="H10" s="10" t="inlineStr"/>
      <c r="I10" s="11" t="inlineStr"/>
      <c r="J10" s="10" t="inlineStr"/>
    </row>
  </sheetData>
  <autoFilter ref="A1:J10"/>
  <conditionalFormatting sqref="G2:G10">
    <cfRule type="expression" priority="1" dxfId="0">
      <formula>$G2="Implemented"</formula>
    </cfRule>
    <cfRule type="expression" priority="2" dxfId="1">
      <formula>$G2="Needs Review"</formula>
    </cfRule>
    <cfRule type="expression" priority="3" dxfId="2">
      <formula>$G2="Blocked"</formula>
    </cfRule>
  </conditionalFormatting>
  <conditionalFormatting sqref="I2:I10">
    <cfRule type="expression" priority="4" dxfId="0">
      <formula>$I2="Yes"</formula>
    </cfRule>
    <cfRule type="expression" priority="5" dxfId="2">
      <formula>$I2="No"</formula>
    </cfRule>
  </conditionalFormatting>
  <dataValidations count="3">
    <dataValidation sqref="G2:G10" showDropDown="0" showInputMessage="0" showErrorMessage="0" allowBlank="1" type="list">
      <formula1>"Implemented,Needs Review,Blocked,Not Started"</formula1>
    </dataValidation>
    <dataValidation sqref="I2:I10" showDropDown="0" showInputMessage="0" showErrorMessage="0" allowBlank="1" type="list">
      <formula1>"Yes,No,N/A"</formula1>
    </dataValidation>
    <dataValidation sqref="F2:F10"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8EA5D8"/>
    <outlinePr summaryBelow="1" summaryRight="1"/>
    <pageSetUpPr/>
  </sheetPr>
  <dimension ref="A1:J12"/>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Manual Test</t>
        </is>
      </c>
      <c r="B2" s="10" t="inlineStr">
        <is>
          <t>Control mode toggle</t>
        </is>
      </c>
      <c r="C2" s="10" t="inlineStr">
        <is>
          <t>Distance/Force selected</t>
        </is>
      </c>
      <c r="D2" s="10" t="inlineStr">
        <is>
          <t>Correct fields and buttons appear for selected mode.</t>
        </is>
      </c>
      <c r="E2" s="10" t="inlineStr">
        <is>
          <t>Update labels/buttons immediately.</t>
        </is>
      </c>
      <c r="F2" s="11" t="inlineStr">
        <is>
          <t>Must</t>
        </is>
      </c>
      <c r="G2" s="11" t="inlineStr">
        <is>
          <t>Implemented</t>
        </is>
      </c>
      <c r="H2" s="10" t="inlineStr"/>
      <c r="I2" s="11" t="inlineStr"/>
      <c r="J2" s="10" t="inlineStr"/>
    </row>
    <row r="3">
      <c r="A3" s="12" t="inlineStr">
        <is>
          <t>Manual Test</t>
        </is>
      </c>
      <c r="B3" s="13" t="inlineStr">
        <is>
          <t>Distance mode increment</t>
        </is>
      </c>
      <c r="C3" s="13" t="inlineStr">
        <is>
          <t>Move Up/Down clicked</t>
        </is>
      </c>
      <c r="D3" s="13" t="inlineStr">
        <is>
          <t>Increment Distance is positive and used for movement.</t>
        </is>
      </c>
      <c r="E3" s="13" t="inlineStr">
        <is>
          <t>Use fallback/default if blank.</t>
        </is>
      </c>
      <c r="F3" s="14" t="inlineStr">
        <is>
          <t>Must</t>
        </is>
      </c>
      <c r="G3" s="14" t="inlineStr">
        <is>
          <t>Implemented</t>
        </is>
      </c>
      <c r="H3" s="13" t="inlineStr"/>
      <c r="I3" s="14" t="inlineStr"/>
      <c r="J3" s="13" t="inlineStr"/>
    </row>
    <row r="4">
      <c r="A4" s="9" t="inlineStr">
        <is>
          <t>Manual Test</t>
        </is>
      </c>
      <c r="B4" s="10" t="inlineStr">
        <is>
          <t>Move Up direction</t>
        </is>
      </c>
      <c r="C4" s="10" t="inlineStr">
        <is>
          <t>Distance mode Move Up clicked</t>
        </is>
      </c>
      <c r="D4" s="10" t="inlineStr">
        <is>
          <t>Position decreases relative to downward actuator distance.</t>
        </is>
      </c>
      <c r="E4" s="10" t="inlineStr">
        <is>
          <t>Update graph/status.</t>
        </is>
      </c>
      <c r="F4" s="11" t="inlineStr">
        <is>
          <t>Must</t>
        </is>
      </c>
      <c r="G4" s="11" t="inlineStr">
        <is>
          <t>Implemented</t>
        </is>
      </c>
      <c r="H4" s="10" t="inlineStr"/>
      <c r="I4" s="11" t="inlineStr"/>
      <c r="J4" s="10" t="inlineStr"/>
    </row>
    <row r="5">
      <c r="A5" s="12" t="inlineStr">
        <is>
          <t>Manual Test</t>
        </is>
      </c>
      <c r="B5" s="13" t="inlineStr">
        <is>
          <t>Move Down direction</t>
        </is>
      </c>
      <c r="C5" s="13" t="inlineStr">
        <is>
          <t>Distance mode Move Down clicked</t>
        </is>
      </c>
      <c r="D5" s="13" t="inlineStr">
        <is>
          <t>Position increases relative to downward actuator distance.</t>
        </is>
      </c>
      <c r="E5" s="13" t="inlineStr">
        <is>
          <t>Update graph/status.</t>
        </is>
      </c>
      <c r="F5" s="14" t="inlineStr">
        <is>
          <t>Must</t>
        </is>
      </c>
      <c r="G5" s="14" t="inlineStr">
        <is>
          <t>Implemented</t>
        </is>
      </c>
      <c r="H5" s="13" t="inlineStr"/>
      <c r="I5" s="14" t="inlineStr"/>
      <c r="J5" s="13" t="inlineStr"/>
    </row>
    <row r="6">
      <c r="A6" s="9" t="inlineStr">
        <is>
          <t>Manual Test</t>
        </is>
      </c>
      <c r="B6" s="10" t="inlineStr">
        <is>
          <t>Force target max</t>
        </is>
      </c>
      <c r="C6" s="10" t="inlineStr">
        <is>
          <t>Force mode input/use</t>
        </is>
      </c>
      <c r="D6" s="10" t="inlineStr">
        <is>
          <t>Target force cannot exceed 32 N.</t>
        </is>
      </c>
      <c r="E6" s="10" t="inlineStr">
        <is>
          <t>Clamp/block over-limit force.</t>
        </is>
      </c>
      <c r="F6" s="11" t="inlineStr">
        <is>
          <t>Must</t>
        </is>
      </c>
      <c r="G6" s="11" t="inlineStr">
        <is>
          <t>Implemented</t>
        </is>
      </c>
      <c r="H6" s="10" t="inlineStr"/>
      <c r="I6" s="11" t="inlineStr"/>
      <c r="J6" s="10" t="inlineStr"/>
    </row>
    <row r="7">
      <c r="A7" s="12" t="inlineStr">
        <is>
          <t>Manual Test</t>
        </is>
      </c>
      <c r="B7" s="13" t="inlineStr">
        <is>
          <t>Force mode buttons</t>
        </is>
      </c>
      <c r="C7" s="13" t="inlineStr">
        <is>
          <t>Force mode selected</t>
        </is>
      </c>
      <c r="D7" s="13" t="inlineStr">
        <is>
          <t>Move buttons become Release, Start Compression, and Home.</t>
        </is>
      </c>
      <c r="E7" s="13" t="inlineStr">
        <is>
          <t>Use force-control language.</t>
        </is>
      </c>
      <c r="F7" s="14" t="inlineStr">
        <is>
          <t>Must</t>
        </is>
      </c>
      <c r="G7" s="14" t="inlineStr">
        <is>
          <t>Implemented</t>
        </is>
      </c>
      <c r="H7" s="13" t="inlineStr"/>
      <c r="I7" s="14" t="inlineStr"/>
      <c r="J7" s="13" t="inlineStr"/>
    </row>
    <row r="8">
      <c r="A8" s="9" t="inlineStr">
        <is>
          <t>Manual Test</t>
        </is>
      </c>
      <c r="B8" s="10" t="inlineStr">
        <is>
          <t>Drag disabled in Force mode</t>
        </is>
      </c>
      <c r="C8" s="10" t="inlineStr">
        <is>
          <t>Force selected</t>
        </is>
      </c>
      <c r="D8" s="10" t="inlineStr">
        <is>
          <t>Drag control remains visible but disabled/soft.</t>
        </is>
      </c>
      <c r="E8" s="10" t="inlineStr">
        <is>
          <t>Prevent drag-control movement.</t>
        </is>
      </c>
      <c r="F8" s="11" t="inlineStr">
        <is>
          <t>Must</t>
        </is>
      </c>
      <c r="G8" s="11" t="inlineStr">
        <is>
          <t>Implemented</t>
        </is>
      </c>
      <c r="H8" s="10" t="inlineStr"/>
      <c r="I8" s="11" t="inlineStr"/>
      <c r="J8" s="10" t="inlineStr"/>
    </row>
    <row r="9">
      <c r="A9" s="12" t="inlineStr">
        <is>
          <t>Manual Test</t>
        </is>
      </c>
      <c r="B9" s="13" t="inlineStr">
        <is>
          <t>Motion lockout</t>
        </is>
      </c>
      <c r="C9" s="13" t="inlineStr">
        <is>
          <t>Any manual movement command clicked</t>
        </is>
      </c>
      <c r="D9" s="13" t="inlineStr">
        <is>
          <t>Controls lock for 5 seconds to simulate actuator motion.</t>
        </is>
      </c>
      <c r="E9" s="13" t="inlineStr">
        <is>
          <t>Only Pause remains available.</t>
        </is>
      </c>
      <c r="F9" s="14" t="inlineStr">
        <is>
          <t>Must</t>
        </is>
      </c>
      <c r="G9" s="14" t="inlineStr">
        <is>
          <t>Implemented</t>
        </is>
      </c>
      <c r="H9" s="13" t="inlineStr"/>
      <c r="I9" s="14" t="inlineStr"/>
      <c r="J9" s="13" t="inlineStr"/>
    </row>
    <row r="10">
      <c r="A10" s="9" t="inlineStr">
        <is>
          <t>Manual Test</t>
        </is>
      </c>
      <c r="B10" s="10" t="inlineStr">
        <is>
          <t>Manual pause immediate</t>
        </is>
      </c>
      <c r="C10" s="10" t="inlineStr">
        <is>
          <t>Pause clicked during manual lockout</t>
        </is>
      </c>
      <c r="D10" s="10" t="inlineStr">
        <is>
          <t>Movement stops and controls unlock immediately.</t>
        </is>
      </c>
      <c r="E10" s="10" t="inlineStr">
        <is>
          <t>Clear timer/lockout.</t>
        </is>
      </c>
      <c r="F10" s="11" t="inlineStr">
        <is>
          <t>Must</t>
        </is>
      </c>
      <c r="G10" s="11" t="inlineStr">
        <is>
          <t>Implemented</t>
        </is>
      </c>
      <c r="H10" s="10" t="inlineStr"/>
      <c r="I10" s="11" t="inlineStr"/>
      <c r="J10" s="10" t="inlineStr"/>
    </row>
    <row r="11">
      <c r="A11" s="12" t="inlineStr">
        <is>
          <t>Manual Test</t>
        </is>
      </c>
      <c r="B11" s="13" t="inlineStr">
        <is>
          <t>Calibration increment persistence</t>
        </is>
      </c>
      <c r="C11" s="13" t="inlineStr">
        <is>
          <t>Increment changed or used</t>
        </is>
      </c>
      <c r="D11" s="13" t="inlineStr">
        <is>
          <t>Last increment value is stored and restored next time.</t>
        </is>
      </c>
      <c r="E11" s="13" t="inlineStr">
        <is>
          <t>Use default 0.1 if none exists.</t>
        </is>
      </c>
      <c r="F11" s="14" t="inlineStr">
        <is>
          <t>Should</t>
        </is>
      </c>
      <c r="G11" s="14" t="inlineStr">
        <is>
          <t>Implemented</t>
        </is>
      </c>
      <c r="H11" s="13" t="inlineStr"/>
      <c r="I11" s="14" t="inlineStr"/>
      <c r="J11" s="13" t="inlineStr"/>
    </row>
    <row r="12">
      <c r="A12" s="9" t="inlineStr">
        <is>
          <t>Manual Test</t>
        </is>
      </c>
      <c r="B12" s="10" t="inlineStr">
        <is>
          <t>Manual analysis tabs</t>
        </is>
      </c>
      <c r="C12" s="10" t="inlineStr">
        <is>
          <t>Perform Analysis clicked</t>
        </is>
      </c>
      <c r="D12" s="10" t="inlineStr">
        <is>
          <t>Cap vs Force, Force vs Time, and Cap vs Time tabs are shown.</t>
        </is>
      </c>
      <c r="E12" s="10" t="inlineStr">
        <is>
          <t>Return to setup when analysis closes.</t>
        </is>
      </c>
      <c r="F12" s="11" t="inlineStr">
        <is>
          <t>Must</t>
        </is>
      </c>
      <c r="G12" s="11" t="inlineStr">
        <is>
          <t>Implemented</t>
        </is>
      </c>
      <c r="H12" s="10" t="inlineStr"/>
      <c r="I12" s="11" t="inlineStr"/>
      <c r="J12" s="10" t="inlineStr"/>
    </row>
  </sheetData>
  <autoFilter ref="A1:J12"/>
  <conditionalFormatting sqref="G2:G12">
    <cfRule type="expression" priority="1" dxfId="0">
      <formula>$G2="Implemented"</formula>
    </cfRule>
    <cfRule type="expression" priority="2" dxfId="1">
      <formula>$G2="Needs Review"</formula>
    </cfRule>
    <cfRule type="expression" priority="3" dxfId="2">
      <formula>$G2="Blocked"</formula>
    </cfRule>
  </conditionalFormatting>
  <conditionalFormatting sqref="I2:I12">
    <cfRule type="expression" priority="4" dxfId="0">
      <formula>$I2="Yes"</formula>
    </cfRule>
    <cfRule type="expression" priority="5" dxfId="2">
      <formula>$I2="No"</formula>
    </cfRule>
  </conditionalFormatting>
  <dataValidations count="3">
    <dataValidation sqref="G2:G12" showDropDown="0" showInputMessage="0" showErrorMessage="0" allowBlank="1" type="list">
      <formula1>"Implemented,Needs Review,Blocked,Not Started"</formula1>
    </dataValidation>
    <dataValidation sqref="I2:I12" showDropDown="0" showInputMessage="0" showErrorMessage="0" allowBlank="1" type="list">
      <formula1>"Yes,No,N/A"</formula1>
    </dataValidation>
    <dataValidation sqref="F2:F12"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8EA5D8"/>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Cyclical Test</t>
        </is>
      </c>
      <c r="B2" s="10" t="inlineStr">
        <is>
          <t>Waveform options</t>
        </is>
      </c>
      <c r="C2" s="10" t="inlineStr">
        <is>
          <t>Cyclical selected</t>
        </is>
      </c>
      <c r="D2" s="10" t="inlineStr">
        <is>
          <t>Only Sine and Square are available.</t>
        </is>
      </c>
      <c r="E2" s="10" t="inlineStr">
        <is>
          <t>Hide unsupported waveform options.</t>
        </is>
      </c>
      <c r="F2" s="11" t="inlineStr">
        <is>
          <t>Must</t>
        </is>
      </c>
      <c r="G2" s="11" t="inlineStr">
        <is>
          <t>Implemented</t>
        </is>
      </c>
      <c r="H2" s="10" t="inlineStr"/>
      <c r="I2" s="11" t="inlineStr"/>
      <c r="J2" s="10" t="inlineStr"/>
    </row>
    <row r="3">
      <c r="A3" s="12" t="inlineStr">
        <is>
          <t>Cyclical Test</t>
        </is>
      </c>
      <c r="B3" s="13" t="inlineStr">
        <is>
          <t>Lower force minimum</t>
        </is>
      </c>
      <c r="C3" s="13" t="inlineStr">
        <is>
          <t>Input/change</t>
        </is>
      </c>
      <c r="D3" s="13" t="inlineStr">
        <is>
          <t>Lower bound is at least -20 N.</t>
        </is>
      </c>
      <c r="E3" s="13" t="inlineStr">
        <is>
          <t>Clamp/block below -20 N.</t>
        </is>
      </c>
      <c r="F3" s="14" t="inlineStr">
        <is>
          <t>Must</t>
        </is>
      </c>
      <c r="G3" s="14" t="inlineStr">
        <is>
          <t>Implemented</t>
        </is>
      </c>
      <c r="H3" s="13" t="inlineStr"/>
      <c r="I3" s="14" t="inlineStr"/>
      <c r="J3" s="13" t="inlineStr"/>
    </row>
    <row r="4">
      <c r="A4" s="9" t="inlineStr">
        <is>
          <t>Cyclical Test</t>
        </is>
      </c>
      <c r="B4" s="10" t="inlineStr">
        <is>
          <t>Upper force maximum</t>
        </is>
      </c>
      <c r="C4" s="10" t="inlineStr">
        <is>
          <t>Input/change</t>
        </is>
      </c>
      <c r="D4" s="10" t="inlineStr">
        <is>
          <t>Upper bound is at most 32 N.</t>
        </is>
      </c>
      <c r="E4" s="10" t="inlineStr">
        <is>
          <t>Clamp/block above 32 N.</t>
        </is>
      </c>
      <c r="F4" s="11" t="inlineStr">
        <is>
          <t>Must</t>
        </is>
      </c>
      <c r="G4" s="11" t="inlineStr">
        <is>
          <t>Implemented</t>
        </is>
      </c>
      <c r="H4" s="10" t="inlineStr"/>
      <c r="I4" s="11" t="inlineStr"/>
      <c r="J4" s="10" t="inlineStr"/>
    </row>
    <row r="5">
      <c r="A5" s="12" t="inlineStr">
        <is>
          <t>Cyclical Test</t>
        </is>
      </c>
      <c r="B5" s="13" t="inlineStr">
        <is>
          <t>Upper greater than lower</t>
        </is>
      </c>
      <c r="C5" s="13" t="inlineStr">
        <is>
          <t>Input/change</t>
        </is>
      </c>
      <c r="D5" s="13" t="inlineStr">
        <is>
          <t>Upper force bound is higher than lower force bound.</t>
        </is>
      </c>
      <c r="E5" s="13" t="inlineStr">
        <is>
          <t>Show error state and block/disable start as needed.</t>
        </is>
      </c>
      <c r="F5" s="14" t="inlineStr">
        <is>
          <t>Must</t>
        </is>
      </c>
      <c r="G5" s="14" t="inlineStr">
        <is>
          <t>Implemented</t>
        </is>
      </c>
      <c r="H5" s="13" t="inlineStr"/>
      <c r="I5" s="14" t="inlineStr"/>
      <c r="J5" s="13" t="inlineStr"/>
    </row>
    <row r="6">
      <c r="A6" s="9" t="inlineStr">
        <is>
          <t>Cyclical Test</t>
        </is>
      </c>
      <c r="B6" s="10" t="inlineStr">
        <is>
          <t>Number of cycles default</t>
        </is>
      </c>
      <c r="C6" s="10" t="inlineStr">
        <is>
          <t>Cyclical opens</t>
        </is>
      </c>
      <c r="D6" s="10" t="inlineStr">
        <is>
          <t>Number of Cycles defaults to 28800.</t>
        </is>
      </c>
      <c r="E6" s="10" t="inlineStr">
        <is>
          <t>Use 28800 fallback.</t>
        </is>
      </c>
      <c r="F6" s="11" t="inlineStr">
        <is>
          <t>Must</t>
        </is>
      </c>
      <c r="G6" s="11" t="inlineStr">
        <is>
          <t>Implemented</t>
        </is>
      </c>
      <c r="H6" s="10" t="inlineStr"/>
      <c r="I6" s="11" t="inlineStr"/>
      <c r="J6" s="10" t="inlineStr"/>
    </row>
    <row r="7">
      <c r="A7" s="12" t="inlineStr">
        <is>
          <t>Cyclical Test</t>
        </is>
      </c>
      <c r="B7" s="13" t="inlineStr">
        <is>
          <t>Duration estimate</t>
        </is>
      </c>
      <c r="C7" s="13" t="inlineStr">
        <is>
          <t>Cycles/frequency changes</t>
        </is>
      </c>
      <c r="D7" s="13" t="inlineStr">
        <is>
          <t>Estimated time updates in hours/minutes.</t>
        </is>
      </c>
      <c r="E7" s="13" t="inlineStr">
        <is>
          <t>Recalculate live.</t>
        </is>
      </c>
      <c r="F7" s="14" t="inlineStr">
        <is>
          <t>Must</t>
        </is>
      </c>
      <c r="G7" s="14" t="inlineStr">
        <is>
          <t>Implemented</t>
        </is>
      </c>
      <c r="H7" s="13" t="inlineStr"/>
      <c r="I7" s="14" t="inlineStr"/>
      <c r="J7" s="13" t="inlineStr"/>
    </row>
    <row r="8">
      <c r="A8" s="9" t="inlineStr">
        <is>
          <t>Cyclical Test</t>
        </is>
      </c>
      <c r="B8" s="10" t="inlineStr">
        <is>
          <t>Start locks controls</t>
        </is>
      </c>
      <c r="C8" s="10" t="inlineStr">
        <is>
          <t>Start clicked</t>
        </is>
      </c>
      <c r="D8" s="10" t="inlineStr">
        <is>
          <t>Controls lock while running except Pause.</t>
        </is>
      </c>
      <c r="E8" s="10" t="inlineStr">
        <is>
          <t>Disable editable controls during run.</t>
        </is>
      </c>
      <c r="F8" s="11" t="inlineStr">
        <is>
          <t>Must</t>
        </is>
      </c>
      <c r="G8" s="11" t="inlineStr">
        <is>
          <t>Implemented</t>
        </is>
      </c>
      <c r="H8" s="10" t="inlineStr"/>
      <c r="I8" s="11" t="inlineStr"/>
      <c r="J8" s="10" t="inlineStr"/>
    </row>
    <row r="9">
      <c r="A9" s="12" t="inlineStr">
        <is>
          <t>Cyclical Test</t>
        </is>
      </c>
      <c r="B9" s="13" t="inlineStr">
        <is>
          <t>Pause return-home lockout</t>
        </is>
      </c>
      <c r="C9" s="13" t="inlineStr">
        <is>
          <t>Pause clicked</t>
        </is>
      </c>
      <c r="D9" s="13" t="inlineStr">
        <is>
          <t>5-second simulated return-home lockout occurs.</t>
        </is>
      </c>
      <c r="E9" s="13" t="inlineStr">
        <is>
          <t>Unlock controls after timer.</t>
        </is>
      </c>
      <c r="F9" s="14" t="inlineStr">
        <is>
          <t>Must</t>
        </is>
      </c>
      <c r="G9" s="14" t="inlineStr">
        <is>
          <t>Implemented</t>
        </is>
      </c>
      <c r="H9" s="13" t="inlineStr"/>
      <c r="I9" s="14" t="inlineStr"/>
      <c r="J9" s="13" t="inlineStr"/>
    </row>
    <row r="10">
      <c r="A10" s="9" t="inlineStr">
        <is>
          <t>Cyclical Test</t>
        </is>
      </c>
      <c r="B10" s="10" t="inlineStr">
        <is>
          <t>No analysis workflow</t>
        </is>
      </c>
      <c r="C10" s="10" t="inlineStr">
        <is>
          <t>Cyclical selected/running</t>
        </is>
      </c>
      <c r="D10" s="10" t="inlineStr">
        <is>
          <t>No Perform Analysis path is shown/used.</t>
        </is>
      </c>
      <c r="E10" s="10" t="inlineStr">
        <is>
          <t>Do not save cyclical data.</t>
        </is>
      </c>
      <c r="F10" s="11" t="inlineStr">
        <is>
          <t>Must</t>
        </is>
      </c>
      <c r="G10" s="11" t="inlineStr">
        <is>
          <t>Implemented</t>
        </is>
      </c>
      <c r="H10" s="10" t="inlineStr"/>
      <c r="I10" s="11" t="inlineStr"/>
      <c r="J10" s="10" t="inlineStr"/>
    </row>
    <row r="11">
      <c r="A11" s="12" t="inlineStr">
        <is>
          <t>Cyclical Test</t>
        </is>
      </c>
      <c r="B11" s="13" t="inlineStr">
        <is>
          <t>No folder saving</t>
        </is>
      </c>
      <c r="C11" s="13" t="inlineStr">
        <is>
          <t>Begin Test or Cyclical run</t>
        </is>
      </c>
      <c r="D11" s="13" t="inlineStr">
        <is>
          <t>Cyclical creates/saves nothing.</t>
        </is>
      </c>
      <c r="E11" s="13" t="inlineStr">
        <is>
          <t>Skip folder conflict and file creation.</t>
        </is>
      </c>
      <c r="F11" s="14" t="inlineStr">
        <is>
          <t>Must</t>
        </is>
      </c>
      <c r="G11" s="14" t="inlineStr">
        <is>
          <t>Implemented</t>
        </is>
      </c>
      <c r="H11" s="13" t="inlineStr"/>
      <c r="I11" s="14" t="inlineStr"/>
      <c r="J11" s="13" t="inlineStr"/>
    </row>
  </sheetData>
  <autoFilter ref="A1:J11"/>
  <conditionalFormatting sqref="G2:G11">
    <cfRule type="expression" priority="1" dxfId="0">
      <formula>$G2="Implemented"</formula>
    </cfRule>
    <cfRule type="expression" priority="2" dxfId="1">
      <formula>$G2="Needs Review"</formula>
    </cfRule>
    <cfRule type="expression" priority="3" dxfId="2">
      <formula>$G2="Blocked"</formula>
    </cfRule>
  </conditionalFormatting>
  <conditionalFormatting sqref="I2:I11">
    <cfRule type="expression" priority="4" dxfId="0">
      <formula>$I2="Yes"</formula>
    </cfRule>
    <cfRule type="expression" priority="5" dxfId="2">
      <formula>$I2="No"</formula>
    </cfRule>
  </conditionalFormatting>
  <dataValidations count="3">
    <dataValidation sqref="G2:G11" showDropDown="0" showInputMessage="0" showErrorMessage="0" allowBlank="1" type="list">
      <formula1>"Implemented,Needs Review,Blocked,Not Started"</formula1>
    </dataValidation>
    <dataValidation sqref="I2:I11" showDropDown="0" showInputMessage="0" showErrorMessage="0" allowBlank="1" type="list">
      <formula1>"Yes,No,N/A"</formula1>
    </dataValidation>
    <dataValidation sqref="F2:F11"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8EA5D8"/>
    <outlinePr summaryBelow="1" summaryRight="1"/>
    <pageSetUpPr/>
  </sheetPr>
  <dimension ref="A1:J8"/>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Analysis</t>
        </is>
      </c>
      <c r="B2" s="10" t="inlineStr">
        <is>
          <t>Creation timing</t>
        </is>
      </c>
      <c r="C2" s="10" t="inlineStr">
        <is>
          <t>Perform Analysis clicked</t>
        </is>
      </c>
      <c r="D2" s="10" t="inlineStr">
        <is>
          <t>Folders/data/outputs are created only during analysis.</t>
        </is>
      </c>
      <c r="E2" s="10" t="inlineStr">
        <is>
          <t>Do not create on Verify or Begin Test.</t>
        </is>
      </c>
      <c r="F2" s="11" t="inlineStr">
        <is>
          <t>Must</t>
        </is>
      </c>
      <c r="G2" s="11" t="inlineStr">
        <is>
          <t>Implemented</t>
        </is>
      </c>
      <c r="H2" s="10" t="inlineStr"/>
      <c r="I2" s="11" t="inlineStr"/>
      <c r="J2" s="10" t="inlineStr"/>
    </row>
    <row r="3">
      <c r="A3" s="12" t="inlineStr">
        <is>
          <t>Analysis</t>
        </is>
      </c>
      <c r="B3" s="13" t="inlineStr">
        <is>
          <t>EM required tabs</t>
        </is>
      </c>
      <c r="C3" s="13" t="inlineStr">
        <is>
          <t>EM analysis opens</t>
        </is>
      </c>
      <c r="D3" s="13" t="inlineStr">
        <is>
          <t>Raw Signals, Pressure Sensitivity Curves, All CH/Runs, Summary Stats, Report Output.</t>
        </is>
      </c>
      <c r="E3" s="13" t="inlineStr">
        <is>
          <t>Missing tab is a UI bug.</t>
        </is>
      </c>
      <c r="F3" s="14" t="inlineStr">
        <is>
          <t>Must</t>
        </is>
      </c>
      <c r="G3" s="14" t="inlineStr">
        <is>
          <t>Implemented</t>
        </is>
      </c>
      <c r="H3" s="13" t="inlineStr"/>
      <c r="I3" s="14" t="inlineStr"/>
      <c r="J3" s="13" t="inlineStr"/>
    </row>
    <row r="4">
      <c r="A4" s="9" t="inlineStr">
        <is>
          <t>Analysis</t>
        </is>
      </c>
      <c r="B4" s="10" t="inlineStr">
        <is>
          <t>Shear required tabs</t>
        </is>
      </c>
      <c r="C4" s="10" t="inlineStr">
        <is>
          <t>Shear analysis opens</t>
        </is>
      </c>
      <c r="D4" s="10" t="inlineStr">
        <is>
          <t>Plot, Detection Table, Report Output.</t>
        </is>
      </c>
      <c r="E4" s="10" t="inlineStr">
        <is>
          <t>Missing tab is a UI bug.</t>
        </is>
      </c>
      <c r="F4" s="11" t="inlineStr">
        <is>
          <t>Must</t>
        </is>
      </c>
      <c r="G4" s="11" t="inlineStr">
        <is>
          <t>Implemented</t>
        </is>
      </c>
      <c r="H4" s="10" t="inlineStr"/>
      <c r="I4" s="11" t="inlineStr"/>
      <c r="J4" s="10" t="inlineStr"/>
    </row>
    <row r="5">
      <c r="A5" s="12" t="inlineStr">
        <is>
          <t>Analysis</t>
        </is>
      </c>
      <c r="B5" s="13" t="inlineStr">
        <is>
          <t>Manual required tabs</t>
        </is>
      </c>
      <c r="C5" s="13" t="inlineStr">
        <is>
          <t>Manual analysis opens</t>
        </is>
      </c>
      <c r="D5" s="13" t="inlineStr">
        <is>
          <t>Capacitance vs Force, Force vs Time, Capacitance vs Time.</t>
        </is>
      </c>
      <c r="E5" s="13" t="inlineStr">
        <is>
          <t>Missing tab is a UI bug.</t>
        </is>
      </c>
      <c r="F5" s="14" t="inlineStr">
        <is>
          <t>Must</t>
        </is>
      </c>
      <c r="G5" s="14" t="inlineStr">
        <is>
          <t>Implemented</t>
        </is>
      </c>
      <c r="H5" s="13" t="inlineStr"/>
      <c r="I5" s="14" t="inlineStr"/>
      <c r="J5" s="13" t="inlineStr"/>
    </row>
    <row r="6">
      <c r="A6" s="9" t="inlineStr">
        <is>
          <t>Analysis</t>
        </is>
      </c>
      <c r="B6" s="10" t="inlineStr">
        <is>
          <t>Progress bar</t>
        </is>
      </c>
      <c r="C6" s="10" t="inlineStr">
        <is>
          <t>Any Perform Analysis clicked</t>
        </is>
      </c>
      <c r="D6" s="10" t="inlineStr">
        <is>
          <t>Fake progress modal appears while outputs generate.</t>
        </is>
      </c>
      <c r="E6" s="10" t="inlineStr">
        <is>
          <t>Show user feedback during generation.</t>
        </is>
      </c>
      <c r="F6" s="11" t="inlineStr">
        <is>
          <t>Must</t>
        </is>
      </c>
      <c r="G6" s="11" t="inlineStr">
        <is>
          <t>Implemented</t>
        </is>
      </c>
      <c r="H6" s="10" t="inlineStr"/>
      <c r="I6" s="11" t="inlineStr"/>
      <c r="J6" s="10" t="inlineStr"/>
    </row>
    <row r="7">
      <c r="A7" s="12" t="inlineStr">
        <is>
          <t>Analysis</t>
        </is>
      </c>
      <c r="B7" s="13" t="inlineStr">
        <is>
          <t>Close returns to setup</t>
        </is>
      </c>
      <c r="C7" s="13" t="inlineStr">
        <is>
          <t>Analysis window closed</t>
        </is>
      </c>
      <c r="D7" s="13" t="inlineStr">
        <is>
          <t>Analysis and testing windows close and user returns to main setup.</t>
        </is>
      </c>
      <c r="E7" s="13" t="inlineStr">
        <is>
          <t>Prevent rerun from completed test window.</t>
        </is>
      </c>
      <c r="F7" s="14" t="inlineStr">
        <is>
          <t>Must</t>
        </is>
      </c>
      <c r="G7" s="14" t="inlineStr">
        <is>
          <t>Implemented</t>
        </is>
      </c>
      <c r="H7" s="13" t="inlineStr"/>
      <c r="I7" s="14" t="inlineStr"/>
      <c r="J7" s="13" t="inlineStr"/>
    </row>
    <row r="8">
      <c r="A8" s="9" t="inlineStr">
        <is>
          <t>Analysis</t>
        </is>
      </c>
      <c r="B8" s="10" t="inlineStr">
        <is>
          <t>Copy output</t>
        </is>
      </c>
      <c r="C8" s="10" t="inlineStr">
        <is>
          <t>Copy Values clicked</t>
        </is>
      </c>
      <c r="D8" s="10" t="inlineStr">
        <is>
          <t>Values copy to clipboard in tracker-friendly format.</t>
        </is>
      </c>
      <c r="E8" s="10" t="inlineStr">
        <is>
          <t>Show copy feedback.</t>
        </is>
      </c>
      <c r="F8" s="11" t="inlineStr">
        <is>
          <t>Must</t>
        </is>
      </c>
      <c r="G8" s="11" t="inlineStr">
        <is>
          <t>Implemented</t>
        </is>
      </c>
      <c r="H8" s="10" t="inlineStr"/>
      <c r="I8" s="11" t="inlineStr"/>
      <c r="J8" s="10" t="inlineStr"/>
    </row>
  </sheetData>
  <autoFilter ref="A1:J8"/>
  <conditionalFormatting sqref="G2:G8">
    <cfRule type="expression" priority="1" dxfId="0">
      <formula>$G2="Implemented"</formula>
    </cfRule>
    <cfRule type="expression" priority="2" dxfId="1">
      <formula>$G2="Needs Review"</formula>
    </cfRule>
    <cfRule type="expression" priority="3" dxfId="2">
      <formula>$G2="Blocked"</formula>
    </cfRule>
  </conditionalFormatting>
  <conditionalFormatting sqref="I2:I8">
    <cfRule type="expression" priority="4" dxfId="0">
      <formula>$I2="Yes"</formula>
    </cfRule>
    <cfRule type="expression" priority="5" dxfId="2">
      <formula>$I2="No"</formula>
    </cfRule>
  </conditionalFormatting>
  <dataValidations count="3">
    <dataValidation sqref="G2:G8" showDropDown="0" showInputMessage="0" showErrorMessage="0" allowBlank="1" type="list">
      <formula1>"Implemented,Needs Review,Blocked,Not Started"</formula1>
    </dataValidation>
    <dataValidation sqref="I2:I8" showDropDown="0" showInputMessage="0" showErrorMessage="0" allowBlank="1" type="list">
      <formula1>"Yes,No,N/A"</formula1>
    </dataValidation>
    <dataValidation sqref="F2:F8"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8EA5D8"/>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24" customWidth="1" min="1" max="1"/>
    <col width="34" customWidth="1" min="2" max="2"/>
    <col width="24" customWidth="1" min="3" max="3"/>
    <col width="48" customWidth="1" min="4" max="4"/>
    <col width="42" customWidth="1" min="5" max="5"/>
    <col width="12" customWidth="1" min="6" max="6"/>
    <col width="16" customWidth="1" min="7" max="7"/>
    <col width="14" customWidth="1" min="8" max="8"/>
    <col width="14" customWidth="1" min="9" max="9"/>
    <col width="36" customWidth="1" min="10" max="10"/>
  </cols>
  <sheetData>
    <row r="1">
      <c r="A1" s="8" t="inlineStr">
        <is>
          <t>Area</t>
        </is>
      </c>
      <c r="B1" s="8" t="inlineStr">
        <is>
          <t>Check</t>
        </is>
      </c>
      <c r="C1" s="8" t="inlineStr">
        <is>
          <t>When It Happens</t>
        </is>
      </c>
      <c r="D1" s="8" t="inlineStr">
        <is>
          <t>Pass Condition</t>
        </is>
      </c>
      <c r="E1" s="8" t="inlineStr">
        <is>
          <t>If It Fails / Action</t>
        </is>
      </c>
      <c r="F1" s="8" t="inlineStr">
        <is>
          <t>Priority</t>
        </is>
      </c>
      <c r="G1" s="8" t="inlineStr">
        <is>
          <t>Status</t>
        </is>
      </c>
      <c r="H1" s="8" t="inlineStr">
        <is>
          <t>Owner</t>
        </is>
      </c>
      <c r="I1" s="8" t="inlineStr">
        <is>
          <t>Verified</t>
        </is>
      </c>
      <c r="J1" s="8" t="inlineStr">
        <is>
          <t>Notes</t>
        </is>
      </c>
    </row>
    <row r="2">
      <c r="A2" s="9" t="inlineStr">
        <is>
          <t>Detection / Reports</t>
        </is>
      </c>
      <c r="B2" s="10" t="inlineStr">
        <is>
          <t>EM shorted channel detection</t>
        </is>
      </c>
      <c r="C2" s="10" t="inlineStr">
        <is>
          <t>EM analysis/report generation</t>
        </is>
      </c>
      <c r="D2" s="10" t="inlineStr">
        <is>
          <t>Large compression spike over high threshold lists affected CH; otherwise NONE.</t>
        </is>
      </c>
      <c r="E2" s="10" t="inlineStr">
        <is>
          <t>Report detected channels or NONE.</t>
        </is>
      </c>
      <c r="F2" s="11" t="inlineStr">
        <is>
          <t>Must</t>
        </is>
      </c>
      <c r="G2" s="11" t="inlineStr">
        <is>
          <t>Implemented</t>
        </is>
      </c>
      <c r="H2" s="10" t="inlineStr"/>
      <c r="I2" s="11" t="inlineStr"/>
      <c r="J2" s="10" t="inlineStr"/>
    </row>
    <row r="3">
      <c r="A3" s="12" t="inlineStr">
        <is>
          <t>Detection / Reports</t>
        </is>
      </c>
      <c r="B3" s="13" t="inlineStr">
        <is>
          <t>Shear shorted channel detection</t>
        </is>
      </c>
      <c r="C3" s="13" t="inlineStr">
        <is>
          <t>Shear analysis/report generation</t>
        </is>
      </c>
      <c r="D3" s="13" t="inlineStr">
        <is>
          <t>Channels over high delta CAP threshold appear in SHORTED CH(S) VIA SHEAR.</t>
        </is>
      </c>
      <c r="E3" s="13" t="inlineStr">
        <is>
          <t>Report detected channels or None.</t>
        </is>
      </c>
      <c r="F3" s="14" t="inlineStr">
        <is>
          <t>Must</t>
        </is>
      </c>
      <c r="G3" s="14" t="inlineStr">
        <is>
          <t>Implemented</t>
        </is>
      </c>
      <c r="H3" s="13" t="inlineStr"/>
      <c r="I3" s="14" t="inlineStr"/>
      <c r="J3" s="13" t="inlineStr"/>
    </row>
    <row r="4">
      <c r="A4" s="9" t="inlineStr">
        <is>
          <t>Detection / Reports</t>
        </is>
      </c>
      <c r="B4" s="10" t="inlineStr">
        <is>
          <t>Shear negative CAP row</t>
        </is>
      </c>
      <c r="C4" s="10" t="inlineStr">
        <is>
          <t>Shear Detection Table</t>
        </is>
      </c>
      <c r="D4" s="10" t="inlineStr">
        <is>
          <t>CH1-CH8 cells show value or none.</t>
        </is>
      </c>
      <c r="E4" s="10" t="inlineStr">
        <is>
          <t>Default to none in simulation.</t>
        </is>
      </c>
      <c r="F4" s="11" t="inlineStr">
        <is>
          <t>Must</t>
        </is>
      </c>
      <c r="G4" s="11" t="inlineStr">
        <is>
          <t>Implemented</t>
        </is>
      </c>
      <c r="H4" s="10" t="inlineStr"/>
      <c r="I4" s="11" t="inlineStr"/>
      <c r="J4" s="10" t="inlineStr"/>
    </row>
    <row r="5">
      <c r="A5" s="12" t="inlineStr">
        <is>
          <t>Detection / Reports</t>
        </is>
      </c>
      <c r="B5" s="13" t="inlineStr">
        <is>
          <t>Shear delta CAP row</t>
        </is>
      </c>
      <c r="C5" s="13" t="inlineStr">
        <is>
          <t>Shear Detection Table</t>
        </is>
      </c>
      <c r="D5" s="13" t="inlineStr">
        <is>
          <t>CH1-CH8 cells show delta value or none.</t>
        </is>
      </c>
      <c r="E5" s="13" t="inlineStr">
        <is>
          <t>Default to none unless threshold exceeded.</t>
        </is>
      </c>
      <c r="F5" s="14" t="inlineStr">
        <is>
          <t>Must</t>
        </is>
      </c>
      <c r="G5" s="14" t="inlineStr">
        <is>
          <t>Implemented</t>
        </is>
      </c>
      <c r="H5" s="13" t="inlineStr"/>
      <c r="I5" s="14" t="inlineStr"/>
      <c r="J5" s="13" t="inlineStr"/>
    </row>
    <row r="6">
      <c r="A6" s="9" t="inlineStr">
        <is>
          <t>Detection / Reports</t>
        </is>
      </c>
      <c r="B6" s="10" t="inlineStr">
        <is>
          <t>Bold detection labels</t>
        </is>
      </c>
      <c r="C6" s="10" t="inlineStr">
        <is>
          <t>Shear Detection Table</t>
        </is>
      </c>
      <c r="D6" s="10" t="inlineStr">
        <is>
          <t>negative CAP and delta_CAP_gt_10pF row labels are bold.</t>
        </is>
      </c>
      <c r="E6" s="10" t="inlineStr">
        <is>
          <t>Keep table readable.</t>
        </is>
      </c>
      <c r="F6" s="11" t="inlineStr">
        <is>
          <t>Must</t>
        </is>
      </c>
      <c r="G6" s="11" t="inlineStr">
        <is>
          <t>Implemented</t>
        </is>
      </c>
      <c r="H6" s="10" t="inlineStr"/>
      <c r="I6" s="11" t="inlineStr"/>
      <c r="J6" s="10" t="inlineStr"/>
    </row>
    <row r="7">
      <c r="A7" s="12" t="inlineStr">
        <is>
          <t>Detection / Reports</t>
        </is>
      </c>
      <c r="B7" s="13" t="inlineStr">
        <is>
          <t>Report output preview</t>
        </is>
      </c>
      <c r="C7" s="13" t="inlineStr">
        <is>
          <t>Report Output tab</t>
        </is>
      </c>
      <c r="D7" s="13" t="inlineStr">
        <is>
          <t>Headers are shown for clarity; copy button copies values.</t>
        </is>
      </c>
      <c r="E7" s="13" t="inlineStr">
        <is>
          <t>Keep output tracker-friendly.</t>
        </is>
      </c>
      <c r="F7" s="14" t="inlineStr">
        <is>
          <t>Must</t>
        </is>
      </c>
      <c r="G7" s="14" t="inlineStr">
        <is>
          <t>Implemented</t>
        </is>
      </c>
      <c r="H7" s="13" t="inlineStr"/>
      <c r="I7" s="14" t="inlineStr"/>
      <c r="J7" s="13" t="inlineStr"/>
    </row>
  </sheetData>
  <autoFilter ref="A1:J7"/>
  <conditionalFormatting sqref="G2:G7">
    <cfRule type="expression" priority="1" dxfId="0">
      <formula>$G2="Implemented"</formula>
    </cfRule>
    <cfRule type="expression" priority="2" dxfId="1">
      <formula>$G2="Needs Review"</formula>
    </cfRule>
    <cfRule type="expression" priority="3" dxfId="2">
      <formula>$G2="Blocked"</formula>
    </cfRule>
  </conditionalFormatting>
  <conditionalFormatting sqref="I2:I7">
    <cfRule type="expression" priority="4" dxfId="0">
      <formula>$I2="Yes"</formula>
    </cfRule>
    <cfRule type="expression" priority="5" dxfId="2">
      <formula>$I2="No"</formula>
    </cfRule>
  </conditionalFormatting>
  <dataValidations count="3">
    <dataValidation sqref="G2:G7" showDropDown="0" showInputMessage="0" showErrorMessage="0" allowBlank="1" type="list">
      <formula1>"Implemented,Needs Review,Blocked,Not Started"</formula1>
    </dataValidation>
    <dataValidation sqref="I2:I7" showDropDown="0" showInputMessage="0" showErrorMessage="0" allowBlank="1" type="list">
      <formula1>"Yes,No,N/A"</formula1>
    </dataValidation>
    <dataValidation sqref="F2:F7" showDropDown="0" showInputMessage="0" showErrorMessage="0" allowBlank="1" type="list">
      <formula1>"Must,Should"</formula1>
    </dataValidation>
  </dataValidation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F28C28"/>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6" customWidth="1" min="1" max="1"/>
    <col width="52" customWidth="1" min="2" max="2"/>
    <col width="24" customWidth="1" min="3" max="3"/>
    <col width="46" customWidth="1" min="4" max="4"/>
    <col width="14" customWidth="1" min="5" max="5"/>
    <col width="16" customWidth="1" min="6" max="6"/>
    <col width="36" customWidth="1" min="7" max="7"/>
  </cols>
  <sheetData>
    <row r="1">
      <c r="A1" s="15" t="inlineStr">
        <is>
          <t>Date</t>
        </is>
      </c>
      <c r="B1" s="15" t="inlineStr">
        <is>
          <t>Change / Decision</t>
        </is>
      </c>
      <c r="C1" s="15" t="inlineStr">
        <is>
          <t>Area</t>
        </is>
      </c>
      <c r="D1" s="15" t="inlineStr">
        <is>
          <t>Reason</t>
        </is>
      </c>
      <c r="E1" s="15" t="inlineStr">
        <is>
          <t>Owner</t>
        </is>
      </c>
      <c r="F1" s="15" t="inlineStr">
        <is>
          <t>Status</t>
        </is>
      </c>
      <c r="G1" s="15" t="inlineStr">
        <is>
          <t>Notes</t>
        </is>
      </c>
    </row>
    <row r="2">
      <c r="A2" s="16" t="inlineStr">
        <is>
          <t>2026-05-26</t>
        </is>
      </c>
      <c r="B2" s="16" t="inlineStr">
        <is>
          <t>Created GUI checks documentation workbook.</t>
        </is>
      </c>
      <c r="C2" s="16" t="inlineStr">
        <is>
          <t>Documentation</t>
        </is>
      </c>
      <c r="D2" s="16" t="inlineStr">
        <is>
          <t>Centralize acceptance checks for review and QA.</t>
        </is>
      </c>
      <c r="E2" s="16" t="inlineStr"/>
      <c r="F2" s="16" t="inlineStr">
        <is>
          <t>Draft</t>
        </is>
      </c>
      <c r="G2" s="16" t="inlineStr"/>
    </row>
    <row r="3">
      <c r="A3" s="16" t="inlineStr">
        <is>
          <t>2026-05-26</t>
        </is>
      </c>
      <c r="B3" s="16" t="inlineStr">
        <is>
          <t>Documented rule that creation/saving waits until Perform Analysis.</t>
        </is>
      </c>
      <c r="C3" s="16" t="inlineStr">
        <is>
          <t>Folder / Existing Tests</t>
        </is>
      </c>
      <c r="D3" s="16" t="inlineStr">
        <is>
          <t>Avoid creating folders/data before analysis workflow.</t>
        </is>
      </c>
      <c r="E3" s="16" t="inlineStr"/>
      <c r="F3" s="16" t="inlineStr">
        <is>
          <t>Needs Review</t>
        </is>
      </c>
      <c r="G3" s="16" t="inlineStr">
        <is>
          <t>Confirm final hardware-data saving rule.</t>
        </is>
      </c>
    </row>
  </sheetData>
  <autoFilter ref="A1:G3"/>
  <pageMargins left="0.75" right="0.75" top="1" bottom="1" header="0.5" footer="0.5"/>
</worksheet>
</file>

<file path=xl/worksheets/sheet15.xml><?xml version="1.0" encoding="utf-8"?>
<worksheet xmlns="http://schemas.openxmlformats.org/spreadsheetml/2006/main">
  <sheetPr>
    <tabColor rgb="003F8B42"/>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4" customWidth="1" min="1" max="1"/>
    <col width="46" customWidth="1" min="2" max="2"/>
    <col width="24" customWidth="1" min="3" max="3"/>
    <col width="16" customWidth="1" min="4" max="4"/>
    <col width="12" customWidth="1" min="5" max="5"/>
    <col width="44" customWidth="1" min="6" max="6"/>
  </cols>
  <sheetData>
    <row r="1">
      <c r="A1" s="15" t="inlineStr">
        <is>
          <t>Story ID</t>
        </is>
      </c>
      <c r="B1" s="15" t="inlineStr">
        <is>
          <t>User Story / Feature</t>
        </is>
      </c>
      <c r="C1" s="15" t="inlineStr">
        <is>
          <t>Acceptance Area</t>
        </is>
      </c>
      <c r="D1" s="15" t="inlineStr">
        <is>
          <t>Status</t>
        </is>
      </c>
      <c r="E1" s="15" t="inlineStr">
        <is>
          <t>Priority</t>
        </is>
      </c>
      <c r="F1" s="15" t="inlineStr">
        <is>
          <t>Notes</t>
        </is>
      </c>
    </row>
    <row r="2">
      <c r="A2" s="16" t="inlineStr">
        <is>
          <t>1.2.x</t>
        </is>
      </c>
      <c r="B2" s="16" t="inlineStr">
        <is>
          <t>Sensor ID builder and custom Sensor ID workflow</t>
        </is>
      </c>
      <c r="C2" s="16" t="inlineStr">
        <is>
          <t>Basic Settings</t>
        </is>
      </c>
      <c r="D2" s="16" t="inlineStr">
        <is>
          <t>Implemented</t>
        </is>
      </c>
      <c r="E2" s="16" t="inlineStr">
        <is>
          <t>Must</t>
        </is>
      </c>
      <c r="F2" s="16" t="inlineStr">
        <is>
          <t>Builder opens blank with placeholders.</t>
        </is>
      </c>
    </row>
    <row r="3">
      <c r="A3" s="16" t="inlineStr">
        <is>
          <t>1.2.x</t>
        </is>
      </c>
      <c r="B3" s="16" t="inlineStr">
        <is>
          <t>Existing test found workflow</t>
        </is>
      </c>
      <c r="C3" s="16" t="inlineStr">
        <is>
          <t>Folder / Existing Tests</t>
        </is>
      </c>
      <c r="D3" s="16" t="inlineStr">
        <is>
          <t>Needs Review</t>
        </is>
      </c>
      <c r="E3" s="16" t="inlineStr">
        <is>
          <t>Must</t>
        </is>
      </c>
      <c r="F3" s="16" t="inlineStr">
        <is>
          <t>Begin Test blocks and options depend on test type.</t>
        </is>
      </c>
    </row>
    <row r="4">
      <c r="A4" s="16" t="inlineStr">
        <is>
          <t>1.4.x</t>
        </is>
      </c>
      <c r="B4" s="16" t="inlineStr">
        <is>
          <t>EM Testing Window</t>
        </is>
      </c>
      <c r="C4" s="16" t="inlineStr">
        <is>
          <t>EM Test</t>
        </is>
      </c>
      <c r="D4" s="16" t="inlineStr">
        <is>
          <t>Implemented</t>
        </is>
      </c>
      <c r="E4" s="16" t="inlineStr">
        <is>
          <t>Must</t>
        </is>
      </c>
      <c r="F4" s="16" t="inlineStr">
        <is>
          <t>Simulation and analysis preview implemented.</t>
        </is>
      </c>
    </row>
    <row r="5">
      <c r="A5" s="16" t="inlineStr">
        <is>
          <t>1.5.x</t>
        </is>
      </c>
      <c r="B5" s="16" t="inlineStr">
        <is>
          <t>EM Analysis Data and Plots</t>
        </is>
      </c>
      <c r="C5" s="16" t="inlineStr">
        <is>
          <t>Analysis</t>
        </is>
      </c>
      <c r="D5" s="16" t="inlineStr">
        <is>
          <t>Implemented</t>
        </is>
      </c>
      <c r="E5" s="16" t="inlineStr">
        <is>
          <t>Must</t>
        </is>
      </c>
      <c r="F5" s="16" t="inlineStr">
        <is>
          <t>Preview tabs and report output implemented.</t>
        </is>
      </c>
    </row>
    <row r="6">
      <c r="A6" s="16" t="inlineStr">
        <is>
          <t>1.6.x</t>
        </is>
      </c>
      <c r="B6" s="16" t="inlineStr">
        <is>
          <t>Shear Testing Window</t>
        </is>
      </c>
      <c r="C6" s="16" t="inlineStr">
        <is>
          <t>Shear Test</t>
        </is>
      </c>
      <c r="D6" s="16" t="inlineStr">
        <is>
          <t>Implemented</t>
        </is>
      </c>
      <c r="E6" s="16" t="inlineStr">
        <is>
          <t>Must</t>
        </is>
      </c>
      <c r="F6" s="16" t="inlineStr">
        <is>
          <t>Live graph simulation and stop-on-analysis implemented.</t>
        </is>
      </c>
    </row>
    <row r="7">
      <c r="A7" s="16" t="inlineStr">
        <is>
          <t>1.7.x</t>
        </is>
      </c>
      <c r="B7" s="16" t="inlineStr">
        <is>
          <t>Shear Analysis Data and Plots</t>
        </is>
      </c>
      <c r="C7" s="16" t="inlineStr">
        <is>
          <t>Analysis</t>
        </is>
      </c>
      <c r="D7" s="16" t="inlineStr">
        <is>
          <t>Implemented</t>
        </is>
      </c>
      <c r="E7" s="16" t="inlineStr">
        <is>
          <t>Must</t>
        </is>
      </c>
      <c r="F7" s="16" t="inlineStr">
        <is>
          <t>Plot, detection table, report output implemented.</t>
        </is>
      </c>
    </row>
    <row r="8">
      <c r="A8" s="16" t="inlineStr">
        <is>
          <t>Manual</t>
        </is>
      </c>
      <c r="B8" s="16" t="inlineStr">
        <is>
          <t>Manual Testing Window with distance/force control</t>
        </is>
      </c>
      <c r="C8" s="16" t="inlineStr">
        <is>
          <t>Manual Test</t>
        </is>
      </c>
      <c r="D8" s="16" t="inlineStr">
        <is>
          <t>Implemented</t>
        </is>
      </c>
      <c r="E8" s="16" t="inlineStr">
        <is>
          <t>Must</t>
        </is>
      </c>
      <c r="F8" s="16" t="inlineStr">
        <is>
          <t>Includes lockout and analysis previews.</t>
        </is>
      </c>
    </row>
    <row r="9">
      <c r="A9" s="16" t="inlineStr">
        <is>
          <t>Cyclical</t>
        </is>
      </c>
      <c r="B9" s="16" t="inlineStr">
        <is>
          <t>Cyclical fatigue testing workflow</t>
        </is>
      </c>
      <c r="C9" s="16" t="inlineStr">
        <is>
          <t>Cyclical Test</t>
        </is>
      </c>
      <c r="D9" s="16" t="inlineStr">
        <is>
          <t>Implemented</t>
        </is>
      </c>
      <c r="E9" s="16" t="inlineStr">
        <is>
          <t>Must</t>
        </is>
      </c>
      <c r="F9" s="16" t="inlineStr">
        <is>
          <t>Sine/square, 28800 default cycles, no saving.</t>
        </is>
      </c>
    </row>
    <row r="10">
      <c r="A10" s="16" t="inlineStr">
        <is>
          <t>Hardware</t>
        </is>
      </c>
      <c r="B10" s="16" t="inlineStr">
        <is>
          <t>Zaber/FUTEK real hardware integration</t>
        </is>
      </c>
      <c r="C10" s="16" t="inlineStr">
        <is>
          <t>Hardware</t>
        </is>
      </c>
      <c r="D10" s="16" t="inlineStr">
        <is>
          <t>Not Started</t>
        </is>
      </c>
      <c r="E10" s="16" t="inlineStr">
        <is>
          <t>Must</t>
        </is>
      </c>
      <c r="F10" s="16" t="inlineStr">
        <is>
          <t>Next major implementation milestone.</t>
        </is>
      </c>
    </row>
    <row r="11">
      <c r="A11" s="16" t="inlineStr">
        <is>
          <t>Analysis Real Data</t>
        </is>
      </c>
      <c r="B11" s="16" t="inlineStr">
        <is>
          <t>Connect real FUT/CAP analysis scripts</t>
        </is>
      </c>
      <c r="C11" s="16" t="inlineStr">
        <is>
          <t>Analysis</t>
        </is>
      </c>
      <c r="D11" s="16" t="inlineStr">
        <is>
          <t>Not Started</t>
        </is>
      </c>
      <c r="E11" s="16" t="inlineStr">
        <is>
          <t>Must</t>
        </is>
      </c>
      <c r="F11" s="16" t="inlineStr">
        <is>
          <t>Replace preview generation with production analysis.</t>
        </is>
      </c>
    </row>
  </sheetData>
  <autoFilter ref="A1:F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44"/>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14" customWidth="1" min="3" max="3"/>
    <col width="45" customWidth="1" min="4" max="4"/>
    <col width="58" customWidth="1" min="5" max="5"/>
    <col width="42" customWidth="1" min="6" max="6"/>
    <col width="62" customWidth="1" min="7" max="7"/>
    <col width="12" customWidth="1" min="8" max="8"/>
  </cols>
  <sheetData>
    <row r="1">
      <c r="A1" s="46" t="inlineStr">
        <is>
          <t>Perform Analysis Save Workflow Documentation</t>
        </is>
      </c>
    </row>
    <row r="2">
      <c r="A2" s="47" t="inlineStr">
        <is>
          <t>documentation for EM, Shear, and Manual Perform Analysis workflows and exact saved folder outputs</t>
        </is>
      </c>
    </row>
    <row r="3"/>
    <row r="4">
      <c r="A4" s="48" t="inlineStr">
        <is>
          <t>Story ID</t>
        </is>
      </c>
      <c r="B4" s="48" t="inlineStr">
        <is>
          <t>Story Title</t>
        </is>
      </c>
      <c r="C4" s="48" t="inlineStr">
        <is>
          <t>Test Type</t>
        </is>
      </c>
      <c r="D4" s="48" t="inlineStr">
        <is>
          <t>User Story</t>
        </is>
      </c>
      <c r="E4" s="48" t="inlineStr">
        <is>
          <t>Acceptance Criteria</t>
        </is>
      </c>
      <c r="F4" s="48" t="inlineStr">
        <is>
          <t>Folder Naming</t>
        </is>
      </c>
      <c r="G4" s="48" t="inlineStr">
        <is>
          <t>Resulting Folder Structure</t>
        </is>
      </c>
      <c r="H4" s="48" t="inlineStr">
        <is>
          <t>Priority</t>
        </is>
      </c>
    </row>
    <row r="5" ht="330" customHeight="1">
      <c r="A5" s="49" t="inlineStr">
        <is>
          <t>Story 1.5.6</t>
        </is>
      </c>
      <c r="B5" s="49" t="inlineStr">
        <is>
          <t>Perform Analysis Button (EM)</t>
        </is>
      </c>
      <c r="C5" s="49" t="inlineStr">
        <is>
          <t>EM</t>
        </is>
      </c>
      <c r="D5" s="50" t="inlineStr">
        <is>
          <t>As a test fixture operator, I want to click a Perform Analysis button so that the software can process the completed test data and generate summary statistics and plots and save them to a predictable folder location.</t>
        </is>
      </c>
      <c r="E5" s="50" t="inlineStr">
        <is>
          <t>The testing window includes a Perform Analysis button.
Perform Analysis is disabled until the EM test has completed successfully.
Clicking Perform Analysis shows a loading/progress state before opening the EM Analysis Page.
Clicking Perform Analysis sends the completed EM test data to the backend.
Clicking Perform Analysis saves the per-run FUT and CAP files, all generated plots, and the analysis result archives into the selected test folder.
Raw Signal plots are organized by run number.
Each run contains one raw signal PNG per channel.
Each raw signal PNG includes three plots in one image: change in capacitance over time, change in pressure over time, and change in CAP over pressure.</t>
        </is>
      </c>
      <c r="F5" s="50" t="inlineStr">
        <is>
          <t>{Save Folder}/{Sensor ID}/{MM DD YY}_{SurfaceArea}mm2_EM{_N}/</t>
        </is>
      </c>
      <c r="G5" s="50" t="inlineStr">
        <is>
          <t>05 29 26_325mm2_EM/
├── FUT/
│   ├── Run 1.xlsx ← Index | Load Cell (N) | Time (s)
│   ├── Run 2.xlsx
│   └── Run N.xlsx
├── CAP/
│   ├── Run 1.csv ← 16 cols: Time, 4 unused, CH1..CH8, 3 trailing
│   ├── Run 2.csv
│   └── Run N.csv
├── Raw Signal/
│   ├── Run 1/
│   │   ├── Raw Signal_Run #1_CH1.png
│   │   ├── Raw Signal_Run #1_CH2.png
│   │   ├── ...
│   │   └── Raw Signal_Run #1_CH8.png
│   ├── Run 2/
│   │   ├── Raw Signal_Run #2_CH1.png
│   │   ├── Raw Signal_Run #2_CH2.png
│   │   ├── ...
│   │   └── Raw Signal_Run #2_CH8.png
│   └── Run N/
│       ├── Raw Signal_Run #N_CH1.png
│       ├── Raw Signal_Run #N_CH2.png
│       ├── ...
│       └── Raw Signal_Run #N_CH8.png
├── PS Curve/
│   ├── PS curve all CHs number #1.png
│   ├── PS curve all CHs number #2.png
│   └── PS curve all CHs number #N.png
├── PS curves all ch per run.png
├── PS curves all run per CH.png
├── eb_analysis_results.pkl ← full analysis result pickled
└── EB_Analysis_Results.xlsx ← flattened analysis result tabs
Each Raw Signal_Run #N_CHM.png contains three plots in one image:
1. Change in capacitance over time
2. Change in pressure over time
3. Change in CAP over pressure</t>
        </is>
      </c>
      <c r="H5" s="51" t="inlineStr">
        <is>
          <t>must</t>
        </is>
      </c>
    </row>
    <row r="6" ht="210" customHeight="1">
      <c r="A6" s="49" t="inlineStr">
        <is>
          <t>Story 1.7.6</t>
        </is>
      </c>
      <c r="B6" s="49" t="inlineStr">
        <is>
          <t>Perform Analysis Button (Shear)</t>
        </is>
      </c>
      <c r="C6" s="49" t="inlineStr">
        <is>
          <t>Shear</t>
        </is>
      </c>
      <c r="D6" s="50" t="inlineStr">
        <is>
          <t>As a test fixture operator, I want to click Perform Analysis after Shear test data has been collected so that the software can process the latest available Shear data, generate summary statistics and plots, and save them to a predictable folder location.</t>
        </is>
      </c>
      <c r="E6" s="50" t="inlineStr">
        <is>
          <t>The Shear Testing Window includes a Perform Analysis button.
Perform Analysis is disabled while recording is active.
Perform Analysis only becomes enabled after the user clicks the STOP button.
Clicking Perform Analysis processes the newest/latest valid Shear dataset.
Clicking Perform Analysis shows a loading state before opening the Shear Analysis Page.
Clicking Perform Analysis sends the latest valid Shear readings to the backend.
Clicking Perform Analysis saves the Shear FUT/CAP files and all generated analysis outputs into the selected test folder.
Default Shear surface area = 50.27 mm2.</t>
        </is>
      </c>
      <c r="F6" s="50" t="inlineStr">
        <is>
          <t>{Save Folder}/{Sensor ID}/{MM DD YY}_{SurfaceArea}mm2_Shear{_N}/</t>
        </is>
      </c>
      <c r="G6" s="50" t="inlineStr">
        <is>
          <t>05 29 26_50.27mm2_Shear/
            ├── FUT/
            │   └── Run 1.xlsx ← Index | Load Cell (N) | Time (s)
            ├── CAP/
            │   └── Run 1.csv ← Time + CH1..CH8 capacitance
            ├── Shear_CH#M.png ← one per channel, CAP and ΔCAP vs Time
            ├── Shear_Force_vs_Time.png ← load cell force trace
            ├── Shear_Failure_Check.png ← negative-value / high-delta summary
            ├── shear_analysis_results.pkl ← full analysis result pickled
            └── Shear_Analysis_Results.xlsx ← flattened analysis result tabs</t>
        </is>
      </c>
      <c r="H6" s="51" t="inlineStr">
        <is>
          <t>must</t>
        </is>
      </c>
    </row>
    <row r="7" ht="210" customHeight="1">
      <c r="A7" s="49" t="inlineStr">
        <is>
          <t>Story 1.9.8</t>
        </is>
      </c>
      <c r="B7" s="49" t="inlineStr">
        <is>
          <t>Perform Analysis Button (Manual)</t>
        </is>
      </c>
      <c r="C7" s="49" t="inlineStr">
        <is>
          <t>Manual</t>
        </is>
      </c>
      <c r="D7" s="50" t="inlineStr">
        <is>
          <t>As a test fixture operator, I want to perform analysis on manual test data so that I can review results from the current preview/manual dataset and have them saved to a predictable folder location.</t>
        </is>
      </c>
      <c r="E7" s="50" t="inlineStr">
        <is>
          <t>Perform Analysis becomes available after manual test data exists.
Clicking Perform Analysis generates manual analysis from the current preview data and shows a loading state before opening the Manual Analysis Page.
Clicking Perform Analysis sends the latest valid Manual Test readings to the backend.
Clicking Perform Analysis saves the Manual FUT/CAP files and all generated analysis plots into the selected test folder.</t>
        </is>
      </c>
      <c r="F7" s="50" t="inlineStr">
        <is>
          <t>{Save Folder}/{Sensor ID}/{MM DD YY}_{SurfaceArea}mm2_Manual{_N}/</t>
        </is>
      </c>
      <c r="G7" s="50" t="inlineStr">
        <is>
          <t>05 29 26_325mm2_Manual/
            ├── FUT/
            │   └── Run 1.xlsx ← Index | Load Cell (N) | Time (s)
            ├── CAP/
            │   └── Run 1.csv ← Time + CH1..CH8 capacitance
            ├── Manual_Cap_vs_Force.png ← capacitance vs force, all CHs overlaid
            ├── Manual_Force_vs_Time.png ← force trace over full session
            ├── Manual_Cap_vs_Time.png ← capacitance vs time, all CHs overlaid
            ├── manual_analysis_results.pkl ← full analysis result pickled
            └── Manual_Analysis_Results.xlsx ← flattened analysis result tabs</t>
        </is>
      </c>
      <c r="H7" s="51" t="inlineStr">
        <is>
          <t>must</t>
        </is>
      </c>
    </row>
    <row r="8"/>
    <row r="9">
      <c r="A9" s="52" t="inlineStr">
        <is>
          <t>Shared Save Folder Structure Reference</t>
        </is>
      </c>
    </row>
    <row r="10">
      <c r="A10" s="49" t="inlineStr">
        <is>
          <t>Folder Pattern</t>
        </is>
      </c>
      <c r="B10" s="50" t="inlineStr">
        <is>
          <t>{Save Folder}/{Sensor ID}/{MM DD YY}_{SurfaceArea}mm2_{TestType}{_N}/</t>
        </is>
      </c>
      <c r="C10" s="55" t="n"/>
      <c r="D10" s="55" t="n"/>
      <c r="E10" s="55" t="n"/>
      <c r="F10" s="55" t="n"/>
      <c r="G10" s="55" t="n"/>
      <c r="H10" s="56" t="n"/>
    </row>
    <row r="11"/>
    <row r="12">
      <c r="A12" s="54" t="inlineStr">
        <is>
          <t>Rule</t>
        </is>
      </c>
      <c r="B12" s="54" t="inlineStr">
        <is>
          <t>Description</t>
        </is>
      </c>
    </row>
    <row r="13">
      <c r="A13" s="49" t="inlineStr">
        <is>
          <t>Save Folder</t>
        </is>
      </c>
      <c r="B13" s="50" t="inlineStr">
        <is>
          <t>Chosen on the Main Window.</t>
        </is>
      </c>
      <c r="C13" s="55" t="n"/>
      <c r="D13" s="55" t="n"/>
      <c r="E13" s="55" t="n"/>
      <c r="F13" s="55" t="n"/>
      <c r="G13" s="55" t="n"/>
      <c r="H13" s="56" t="n"/>
    </row>
    <row r="14">
      <c r="A14" s="49" t="inlineStr">
        <is>
          <t>Sensor ID</t>
        </is>
      </c>
      <c r="B14" s="50" t="inlineStr">
        <is>
          <t>Generated segmented Sensor ID or custom Sensor ID.</t>
        </is>
      </c>
      <c r="C14" s="55" t="n"/>
      <c r="D14" s="55" t="n"/>
      <c r="E14" s="55" t="n"/>
      <c r="F14" s="55" t="n"/>
      <c r="G14" s="55" t="n"/>
      <c r="H14" s="56" t="n"/>
    </row>
    <row r="15">
      <c r="A15" s="49" t="inlineStr">
        <is>
          <t>MM DD YY</t>
        </is>
      </c>
      <c r="B15" s="50" t="inlineStr">
        <is>
          <t>System date when the test begins.</t>
        </is>
      </c>
      <c r="C15" s="55" t="n"/>
      <c r="D15" s="55" t="n"/>
      <c r="E15" s="55" t="n"/>
      <c r="F15" s="55" t="n"/>
      <c r="G15" s="55" t="n"/>
      <c r="H15" s="56" t="n"/>
    </row>
    <row r="16">
      <c r="A16" s="49" t="inlineStr">
        <is>
          <t>SurfaceArea</t>
        </is>
      </c>
      <c r="B16" s="50" t="inlineStr">
        <is>
          <t>Ecoflex block surface area in mm2. Defaults: 325 for EM/Manual, 50.27 for Shear.</t>
        </is>
      </c>
      <c r="C16" s="55" t="n"/>
      <c r="D16" s="55" t="n"/>
      <c r="E16" s="55" t="n"/>
      <c r="F16" s="55" t="n"/>
      <c r="G16" s="55" t="n"/>
      <c r="H16" s="56" t="n"/>
    </row>
    <row r="17">
      <c r="A17" s="49" t="inlineStr">
        <is>
          <t>TestType</t>
        </is>
      </c>
      <c r="B17" s="50" t="inlineStr">
        <is>
          <t>EM, Shear, or Manual. Cyclical writes no folder.</t>
        </is>
      </c>
      <c r="C17" s="55" t="n"/>
      <c r="D17" s="55" t="n"/>
      <c r="E17" s="55" t="n"/>
      <c r="F17" s="55" t="n"/>
      <c r="G17" s="55" t="n"/>
      <c r="H17" s="56" t="n"/>
    </row>
    <row r="18">
      <c r="A18" s="49" t="inlineStr">
        <is>
          <t>_N suffix</t>
        </is>
      </c>
      <c r="B18" s="50" t="inlineStr">
        <is>
          <t>Added only when Create New Versioned Test Folder is chosen.</t>
        </is>
      </c>
      <c r="C18" s="55" t="n"/>
      <c r="D18" s="55" t="n"/>
      <c r="E18" s="55" t="n"/>
      <c r="F18" s="55" t="n"/>
      <c r="G18" s="55" t="n"/>
      <c r="H18" s="56" t="n"/>
    </row>
    <row r="19">
      <c r="A19" s="49" t="inlineStr">
        <is>
          <t>Creation timing</t>
        </is>
      </c>
      <c r="B19" s="50" t="inlineStr">
        <is>
          <t>The folder is not created until Perform Analysis runs, so canceled tests leave no trace.</t>
        </is>
      </c>
      <c r="C19" s="55" t="n"/>
      <c r="D19" s="55" t="n"/>
      <c r="E19" s="55" t="n"/>
      <c r="F19" s="55" t="n"/>
      <c r="G19" s="55" t="n"/>
      <c r="H19" s="56" t="n"/>
    </row>
    <row r="20"/>
    <row r="21">
      <c r="A21" s="52" t="inlineStr">
        <is>
          <t>Output File Matrix</t>
        </is>
      </c>
    </row>
    <row r="22">
      <c r="A22" s="54" t="inlineStr">
        <is>
          <t>Test Type</t>
        </is>
      </c>
      <c r="B22" s="54" t="inlineStr">
        <is>
          <t>Output Group</t>
        </is>
      </c>
      <c r="C22" s="54" t="inlineStr">
        <is>
          <t>File / Folder</t>
        </is>
      </c>
      <c r="D22" s="54" t="inlineStr">
        <is>
          <t>Purpose</t>
        </is>
      </c>
    </row>
    <row r="23">
      <c r="A23" s="49" t="inlineStr">
        <is>
          <t>EM</t>
        </is>
      </c>
      <c r="B23" s="50" t="inlineStr">
        <is>
          <t>FUT</t>
        </is>
      </c>
      <c r="C23" s="50" t="inlineStr">
        <is>
          <t>Run N.xlsx</t>
        </is>
      </c>
      <c r="D23" s="50" t="inlineStr">
        <is>
          <t>Index | Load Cell (N) | Time (s)</t>
        </is>
      </c>
    </row>
    <row r="24">
      <c r="A24" s="49" t="inlineStr">
        <is>
          <t>EM</t>
        </is>
      </c>
      <c r="B24" s="50" t="inlineStr">
        <is>
          <t>CAP</t>
        </is>
      </c>
      <c r="C24" s="50" t="inlineStr">
        <is>
          <t>Run N.csv</t>
        </is>
      </c>
      <c r="D24" s="50" t="inlineStr">
        <is>
          <t>Time, 4 unused columns, CH1..CH8, 3 trailing columns</t>
        </is>
      </c>
    </row>
    <row r="25">
      <c r="A25" s="49" t="inlineStr">
        <is>
          <t>EM</t>
        </is>
      </c>
      <c r="B25" s="50" t="inlineStr">
        <is>
          <t>Plots</t>
        </is>
      </c>
      <c r="C25" s="50" t="inlineStr">
        <is>
          <t>Raw Signal_Run #N_CHM.png</t>
        </is>
      </c>
      <c r="D25" s="50" t="inlineStr">
        <is>
          <t>One raw signal PNG per run and channel; each PNG contains capacitance over time, pressure over time, and CAP over pressure.</t>
        </is>
      </c>
    </row>
    <row r="26">
      <c r="A26" s="49" t="inlineStr">
        <is>
          <t>EM</t>
        </is>
      </c>
      <c r="B26" s="50" t="inlineStr">
        <is>
          <t>Plots</t>
        </is>
      </c>
      <c r="C26" s="50" t="inlineStr">
        <is>
          <t>PS curve all CHs number #N.png</t>
        </is>
      </c>
      <c r="D26" s="50" t="inlineStr">
        <is>
          <t>All 8 pressure sensitivity curves for one run</t>
        </is>
      </c>
    </row>
    <row r="27">
      <c r="A27" s="49" t="inlineStr">
        <is>
          <t>EM</t>
        </is>
      </c>
      <c r="B27" s="50" t="inlineStr">
        <is>
          <t>Plots</t>
        </is>
      </c>
      <c r="C27" s="50" t="inlineStr">
        <is>
          <t>PS curves all ch per run.png</t>
        </is>
      </c>
      <c r="D27" s="50" t="inlineStr">
        <is>
          <t>All channels grouped by run</t>
        </is>
      </c>
    </row>
    <row r="28">
      <c r="A28" s="49" t="inlineStr">
        <is>
          <t>EM</t>
        </is>
      </c>
      <c r="B28" s="50" t="inlineStr">
        <is>
          <t>Plots</t>
        </is>
      </c>
      <c r="C28" s="50" t="inlineStr">
        <is>
          <t>PS curves all run per CH.png</t>
        </is>
      </c>
      <c r="D28" s="50" t="inlineStr">
        <is>
          <t>All runs grouped by channel</t>
        </is>
      </c>
    </row>
    <row r="29">
      <c r="A29" s="49" t="inlineStr">
        <is>
          <t>EM</t>
        </is>
      </c>
      <c r="B29" s="50" t="inlineStr">
        <is>
          <t>Archive</t>
        </is>
      </c>
      <c r="C29" s="50" t="inlineStr">
        <is>
          <t>eb_analysis_results.pkl</t>
        </is>
      </c>
      <c r="D29" s="50" t="inlineStr">
        <is>
          <t>Pickled full analysis result</t>
        </is>
      </c>
    </row>
    <row r="30">
      <c r="A30" s="49" t="inlineStr">
        <is>
          <t>EM</t>
        </is>
      </c>
      <c r="B30" s="50" t="inlineStr">
        <is>
          <t>Archive</t>
        </is>
      </c>
      <c r="C30" s="50" t="inlineStr">
        <is>
          <t>EB_Analysis_Results.xlsx</t>
        </is>
      </c>
      <c r="D30" s="50" t="inlineStr">
        <is>
          <t>Flattened analysis workbook</t>
        </is>
      </c>
    </row>
    <row r="31">
      <c r="A31" s="49" t="inlineStr">
        <is>
          <t>Shear</t>
        </is>
      </c>
      <c r="B31" s="50" t="inlineStr">
        <is>
          <t>FUT</t>
        </is>
      </c>
      <c r="C31" s="50" t="inlineStr">
        <is>
          <t>Run 1.xlsx</t>
        </is>
      </c>
      <c r="D31" s="50" t="inlineStr">
        <is>
          <t>Index | Load Cell (N) | Time (s)</t>
        </is>
      </c>
    </row>
    <row r="32">
      <c r="A32" s="49" t="inlineStr">
        <is>
          <t>Shear</t>
        </is>
      </c>
      <c r="B32" s="50" t="inlineStr">
        <is>
          <t>CAP</t>
        </is>
      </c>
      <c r="C32" s="50" t="inlineStr">
        <is>
          <t>Run 1.csv</t>
        </is>
      </c>
      <c r="D32" s="50" t="inlineStr">
        <is>
          <t>Time + CH1..CH8 capacitance</t>
        </is>
      </c>
    </row>
    <row r="33">
      <c r="A33" s="49" t="inlineStr">
        <is>
          <t>Shear</t>
        </is>
      </c>
      <c r="B33" s="50" t="inlineStr">
        <is>
          <t>Plots</t>
        </is>
      </c>
      <c r="C33" s="50" t="inlineStr">
        <is>
          <t>Shear_CH#M.png</t>
        </is>
      </c>
      <c r="D33" s="50" t="inlineStr">
        <is>
          <t>CAP and ΔCAP vs Time by channel</t>
        </is>
      </c>
    </row>
    <row r="34">
      <c r="A34" s="49" t="inlineStr">
        <is>
          <t>Shear</t>
        </is>
      </c>
      <c r="B34" s="50" t="inlineStr">
        <is>
          <t>Plots</t>
        </is>
      </c>
      <c r="C34" s="50" t="inlineStr">
        <is>
          <t>Shear_Force_vs_Time.png</t>
        </is>
      </c>
      <c r="D34" s="50" t="inlineStr">
        <is>
          <t>Load cell force trace</t>
        </is>
      </c>
    </row>
    <row r="35">
      <c r="A35" s="49" t="inlineStr">
        <is>
          <t>Shear</t>
        </is>
      </c>
      <c r="B35" s="50" t="inlineStr">
        <is>
          <t>Plots</t>
        </is>
      </c>
      <c r="C35" s="50" t="inlineStr">
        <is>
          <t>Shear_Failure_Check.png</t>
        </is>
      </c>
      <c r="D35" s="50" t="inlineStr">
        <is>
          <t>Negative-value / high-delta summary</t>
        </is>
      </c>
    </row>
    <row r="36">
      <c r="A36" s="49" t="inlineStr">
        <is>
          <t>Shear</t>
        </is>
      </c>
      <c r="B36" s="50" t="inlineStr">
        <is>
          <t>Archive</t>
        </is>
      </c>
      <c r="C36" s="50" t="inlineStr">
        <is>
          <t>shear_analysis_results.pkl</t>
        </is>
      </c>
      <c r="D36" s="50" t="inlineStr">
        <is>
          <t>Pickled full analysis result</t>
        </is>
      </c>
    </row>
    <row r="37">
      <c r="A37" s="49" t="inlineStr">
        <is>
          <t>Shear</t>
        </is>
      </c>
      <c r="B37" s="50" t="inlineStr">
        <is>
          <t>Archive</t>
        </is>
      </c>
      <c r="C37" s="50" t="inlineStr">
        <is>
          <t>Shear_Analysis_Results.xlsx</t>
        </is>
      </c>
      <c r="D37" s="50" t="inlineStr">
        <is>
          <t>Flattened analysis workbook</t>
        </is>
      </c>
    </row>
    <row r="38">
      <c r="A38" s="49" t="inlineStr">
        <is>
          <t>Manual</t>
        </is>
      </c>
      <c r="B38" s="50" t="inlineStr">
        <is>
          <t>FUT</t>
        </is>
      </c>
      <c r="C38" s="50" t="inlineStr">
        <is>
          <t>Run 1.xlsx</t>
        </is>
      </c>
      <c r="D38" s="50" t="inlineStr">
        <is>
          <t>Index | Load Cell (N) | Time (s)</t>
        </is>
      </c>
    </row>
    <row r="39">
      <c r="A39" s="49" t="inlineStr">
        <is>
          <t>Manual</t>
        </is>
      </c>
      <c r="B39" s="50" t="inlineStr">
        <is>
          <t>CAP</t>
        </is>
      </c>
      <c r="C39" s="50" t="inlineStr">
        <is>
          <t>Run 1.csv</t>
        </is>
      </c>
      <c r="D39" s="50" t="inlineStr">
        <is>
          <t>Time + CH1..CH8 capacitance</t>
        </is>
      </c>
    </row>
    <row r="40">
      <c r="A40" s="49" t="inlineStr">
        <is>
          <t>Manual</t>
        </is>
      </c>
      <c r="B40" s="50" t="inlineStr">
        <is>
          <t>Plots</t>
        </is>
      </c>
      <c r="C40" s="50" t="inlineStr">
        <is>
          <t>Manual_Cap_vs_Force.png</t>
        </is>
      </c>
      <c r="D40" s="50" t="inlineStr">
        <is>
          <t>Capacitance vs force, all CHs overlaid</t>
        </is>
      </c>
    </row>
    <row r="41">
      <c r="A41" s="49" t="inlineStr">
        <is>
          <t>Manual</t>
        </is>
      </c>
      <c r="B41" s="50" t="inlineStr">
        <is>
          <t>Plots</t>
        </is>
      </c>
      <c r="C41" s="50" t="inlineStr">
        <is>
          <t>Manual_Force_vs_Time.png</t>
        </is>
      </c>
      <c r="D41" s="50" t="inlineStr">
        <is>
          <t>Force trace over full session</t>
        </is>
      </c>
    </row>
    <row r="42">
      <c r="A42" s="49" t="inlineStr">
        <is>
          <t>Manual</t>
        </is>
      </c>
      <c r="B42" s="50" t="inlineStr">
        <is>
          <t>Plots</t>
        </is>
      </c>
      <c r="C42" s="50" t="inlineStr">
        <is>
          <t>Manual_Cap_vs_Time.png</t>
        </is>
      </c>
      <c r="D42" s="50" t="inlineStr">
        <is>
          <t>Capacitance vs time, all CHs overlaid</t>
        </is>
      </c>
    </row>
    <row r="43">
      <c r="A43" s="49" t="inlineStr">
        <is>
          <t>Manual</t>
        </is>
      </c>
      <c r="B43" s="50" t="inlineStr">
        <is>
          <t>Archive</t>
        </is>
      </c>
      <c r="C43" s="50" t="inlineStr">
        <is>
          <t>manual_analysis_results.pkl</t>
        </is>
      </c>
      <c r="D43" s="50" t="inlineStr">
        <is>
          <t>Pickled full analysis result</t>
        </is>
      </c>
    </row>
    <row r="44">
      <c r="A44" s="49" t="inlineStr">
        <is>
          <t>Manual</t>
        </is>
      </c>
      <c r="B44" s="50" t="inlineStr">
        <is>
          <t>Archive</t>
        </is>
      </c>
      <c r="C44" s="50" t="inlineStr">
        <is>
          <t>Manual_Analysis_Results.xlsx</t>
        </is>
      </c>
      <c r="D44" s="50" t="inlineStr">
        <is>
          <t>Flattened analysis workbook</t>
        </is>
      </c>
    </row>
  </sheetData>
  <mergeCells count="12">
    <mergeCell ref="A9:H9"/>
    <mergeCell ref="B14:H14"/>
    <mergeCell ref="A21:H21"/>
    <mergeCell ref="B17:H17"/>
    <mergeCell ref="B18:H18"/>
    <mergeCell ref="B13:H13"/>
    <mergeCell ref="A2:H2"/>
    <mergeCell ref="B16:H16"/>
    <mergeCell ref="B15:H15"/>
    <mergeCell ref="B10:H10"/>
    <mergeCell ref="A1:H1"/>
    <mergeCell ref="B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2026-05-26T18:17:13Z</dcterms:created>
  <dcterms:modified xsi:type="dcterms:W3CDTF">2026-05-29T21:30:54Z</dcterms:modified>
</cp:coreProperties>
</file>